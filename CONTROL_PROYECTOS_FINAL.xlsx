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pmpconsultoria.sharepoint.com/sites/PMP-Sigral-S_Integrado_SIG/Shared Documents/S_Integrado_(SIG)/2_Gestión_SIG/Registros/9.Control_Proyectos/9.7.Conformidad del Servicio/"/>
    </mc:Choice>
  </mc:AlternateContent>
  <xr:revisionPtr revIDLastSave="6" documentId="13_ncr:1_{0AE463AB-DDB3-4984-966B-3D3B7CED8A64}" xr6:coauthVersionLast="47" xr6:coauthVersionMax="47" xr10:uidLastSave="{33D2115F-F17C-49F8-83BA-5AD1C4CC7907}"/>
  <bookViews>
    <workbookView xWindow="-110" yWindow="-110" windowWidth="19420" windowHeight="10300" tabRatio="500" xr2:uid="{00000000-000D-0000-FFFF-FFFF00000000}"/>
  </bookViews>
  <sheets>
    <sheet name="SEGUIMIENTO_PROYECTOS" sheetId="1" r:id="rId1"/>
    <sheet name="DASHBOARD_KPIs" sheetId="2" r:id="rId2"/>
    <sheet name="LEYENDA" sheetId="3" r:id="rId3"/>
    <sheet name="CATÁLOGOS" sheetId="4" r:id="rId4"/>
  </sheets>
  <definedNames>
    <definedName name="_xlnm._FilterDatabase" localSheetId="0" hidden="1">SEGUIMIENTO_PROYECTOS!$A$4:$W$185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85" i="1" l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X11" i="1"/>
  <c r="X10" i="1"/>
  <c r="X9" i="1"/>
  <c r="X8" i="1"/>
  <c r="X7" i="1"/>
  <c r="X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E3" i="2" l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5" i="1"/>
  <c r="C43" i="2" l="1"/>
  <c r="E40" i="2"/>
  <c r="E38" i="2"/>
  <c r="E37" i="2"/>
  <c r="E36" i="2"/>
  <c r="E35" i="2"/>
  <c r="E34" i="2"/>
  <c r="E33" i="2"/>
  <c r="E44" i="2"/>
  <c r="E43" i="2"/>
  <c r="E42" i="2"/>
  <c r="E41" i="2"/>
  <c r="E39" i="2"/>
  <c r="E32" i="2"/>
  <c r="E31" i="2"/>
  <c r="E30" i="2"/>
  <c r="C13" i="2"/>
  <c r="I33" i="2"/>
  <c r="I40" i="2"/>
  <c r="I38" i="2"/>
  <c r="G24" i="2"/>
  <c r="E22" i="2"/>
  <c r="C34" i="2"/>
  <c r="C36" i="2"/>
  <c r="G20" i="2"/>
  <c r="H20" i="2"/>
  <c r="F36" i="2"/>
  <c r="I20" i="2"/>
  <c r="J20" i="2" s="1"/>
  <c r="D22" i="2"/>
  <c r="H26" i="2"/>
  <c r="G26" i="2"/>
  <c r="C32" i="2"/>
  <c r="D38" i="2"/>
  <c r="I22" i="2"/>
  <c r="J22" i="2" s="1"/>
  <c r="D36" i="2"/>
  <c r="F24" i="2"/>
  <c r="H24" i="2"/>
  <c r="I24" i="2"/>
  <c r="J24" i="2" s="1"/>
  <c r="C39" i="2"/>
  <c r="I42" i="2"/>
  <c r="C19" i="2"/>
  <c r="E26" i="2"/>
  <c r="C41" i="2"/>
  <c r="F20" i="2"/>
  <c r="F26" i="2"/>
  <c r="F31" i="2"/>
  <c r="F13" i="2"/>
  <c r="H40" i="2"/>
  <c r="E13" i="2"/>
  <c r="G13" i="2"/>
  <c r="D41" i="2"/>
  <c r="D34" i="2"/>
  <c r="D39" i="2"/>
  <c r="D32" i="2"/>
  <c r="D43" i="2"/>
  <c r="I43" i="2"/>
  <c r="D42" i="2"/>
  <c r="F40" i="2"/>
  <c r="H38" i="2"/>
  <c r="C37" i="2"/>
  <c r="G33" i="2"/>
  <c r="I31" i="2"/>
  <c r="D30" i="2"/>
  <c r="H25" i="2"/>
  <c r="D24" i="2"/>
  <c r="H22" i="2"/>
  <c r="D21" i="2"/>
  <c r="H19" i="2"/>
  <c r="G7" i="2"/>
  <c r="H43" i="2"/>
  <c r="C42" i="2"/>
  <c r="G38" i="2"/>
  <c r="I36" i="2"/>
  <c r="D35" i="2"/>
  <c r="F33" i="2"/>
  <c r="H31" i="2"/>
  <c r="C30" i="2"/>
  <c r="G25" i="2"/>
  <c r="C24" i="2"/>
  <c r="G22" i="2"/>
  <c r="C21" i="2"/>
  <c r="G19" i="2"/>
  <c r="F7" i="2"/>
  <c r="G43" i="2"/>
  <c r="I41" i="2"/>
  <c r="D40" i="2"/>
  <c r="F38" i="2"/>
  <c r="H36" i="2"/>
  <c r="C35" i="2"/>
  <c r="G31" i="2"/>
  <c r="F25" i="2"/>
  <c r="F22" i="2"/>
  <c r="D19" i="2"/>
  <c r="C23" i="2"/>
  <c r="I26" i="2"/>
  <c r="J26" i="2" s="1"/>
  <c r="F34" i="2"/>
  <c r="G36" i="2"/>
  <c r="F43" i="2"/>
  <c r="B7" i="2"/>
  <c r="E19" i="2"/>
  <c r="E21" i="2"/>
  <c r="D23" i="2"/>
  <c r="C25" i="2"/>
  <c r="F32" i="2"/>
  <c r="G34" i="2"/>
  <c r="F41" i="2"/>
  <c r="C44" i="2"/>
  <c r="C7" i="2"/>
  <c r="F19" i="2"/>
  <c r="F21" i="2"/>
  <c r="E23" i="2"/>
  <c r="D25" i="2"/>
  <c r="F30" i="2"/>
  <c r="G32" i="2"/>
  <c r="H34" i="2"/>
  <c r="D44" i="2"/>
  <c r="D7" i="2"/>
  <c r="I19" i="2"/>
  <c r="J19" i="2" s="1"/>
  <c r="G21" i="2"/>
  <c r="F23" i="2"/>
  <c r="E25" i="2"/>
  <c r="G30" i="2"/>
  <c r="H32" i="2"/>
  <c r="I34" i="2"/>
  <c r="F37" i="2"/>
  <c r="G39" i="2"/>
  <c r="H41" i="2"/>
  <c r="E7" i="2"/>
  <c r="H21" i="2"/>
  <c r="G23" i="2"/>
  <c r="I25" i="2"/>
  <c r="J25" i="2" s="1"/>
  <c r="H30" i="2"/>
  <c r="I32" i="2"/>
  <c r="F35" i="2"/>
  <c r="G37" i="2"/>
  <c r="H39" i="2"/>
  <c r="F44" i="2"/>
  <c r="D37" i="2"/>
  <c r="F39" i="2"/>
  <c r="B13" i="2"/>
  <c r="C20" i="2"/>
  <c r="I21" i="2"/>
  <c r="J21" i="2" s="1"/>
  <c r="H23" i="2"/>
  <c r="I30" i="2"/>
  <c r="C33" i="2"/>
  <c r="G35" i="2"/>
  <c r="H37" i="2"/>
  <c r="I39" i="2"/>
  <c r="F42" i="2"/>
  <c r="G44" i="2"/>
  <c r="D20" i="2"/>
  <c r="I23" i="2"/>
  <c r="J23" i="2" s="1"/>
  <c r="C26" i="2"/>
  <c r="C31" i="2"/>
  <c r="D33" i="2"/>
  <c r="H35" i="2"/>
  <c r="I37" i="2"/>
  <c r="C40" i="2"/>
  <c r="G42" i="2"/>
  <c r="H44" i="2"/>
  <c r="G41" i="2"/>
  <c r="D13" i="2"/>
  <c r="E20" i="2"/>
  <c r="C22" i="2"/>
  <c r="E24" i="2"/>
  <c r="D26" i="2"/>
  <c r="D31" i="2"/>
  <c r="H33" i="2"/>
  <c r="I35" i="2"/>
  <c r="C38" i="2"/>
  <c r="G40" i="2"/>
  <c r="H42" i="2"/>
  <c r="I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Consuelo Fernandez, SIGRAL, Planeamiento y SIG</author>
  </authors>
  <commentList>
    <comment ref="J4" authorId="0" shapeId="0" xr:uid="{6CA65F91-9C3D-495B-9664-0AF9FAEAF265}">
      <text>
        <r>
          <rPr>
            <b/>
            <sz val="9"/>
            <color indexed="81"/>
            <rFont val="Tahoma"/>
            <family val="2"/>
          </rPr>
          <t>SIG:A,B,C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 xr:uid="{C9F8B11E-C178-4FB1-947A-8EEFE376F10C}">
      <text>
        <r>
          <rPr>
            <b/>
            <sz val="9"/>
            <color indexed="81"/>
            <rFont val="Tahoma"/>
            <family val="2"/>
          </rPr>
          <t>SIG:
A,B,C, *D (solo ING/SUP)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" authorId="0" shapeId="0" xr:uid="{F377E1D4-8818-4E79-AC01-062125D0DF19}">
      <text>
        <r>
          <rPr>
            <b/>
            <sz val="9"/>
            <color indexed="81"/>
            <rFont val="Tahoma"/>
            <family val="2"/>
          </rPr>
          <t>SIG:
A,B,C
*D: Ingenierías</t>
        </r>
      </text>
    </comment>
    <comment ref="O4" authorId="0" shapeId="0" xr:uid="{826BD274-EF14-467E-8A70-F78B8302C5BE}">
      <text>
        <r>
          <rPr>
            <b/>
            <sz val="9"/>
            <color indexed="81"/>
            <rFont val="Tahoma"/>
            <family val="2"/>
          </rPr>
          <t>SIG: 
A,B,C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0" shapeId="0" xr:uid="{DB7747A0-6160-427C-A6AF-DABBDBDECCAE}">
      <text>
        <r>
          <rPr>
            <b/>
            <sz val="9"/>
            <color indexed="81"/>
            <rFont val="Tahoma"/>
            <family val="2"/>
          </rPr>
          <t>SIG:
A,B (SUP)
*C (Ingenierías - ART)</t>
        </r>
      </text>
    </comment>
  </commentList>
</comments>
</file>

<file path=xl/sharedStrings.xml><?xml version="1.0" encoding="utf-8"?>
<sst xmlns="http://schemas.openxmlformats.org/spreadsheetml/2006/main" count="3123" uniqueCount="695">
  <si>
    <t>CONTROL DE PROYECTOS — ENTREGABLES Y CONFORMIDAD DEL SERVICIO</t>
  </si>
  <si>
    <t>Actualizado al: 29/05/2026   ·   VERDE=OK  ROJO=PENDIENTE  AMARILLO=Falta firma  AZUL=En proceso  GRIS=No aplica</t>
  </si>
  <si>
    <t>DATOS DEL PROYECTO</t>
  </si>
  <si>
    <t>GESTIÓN</t>
  </si>
  <si>
    <t>RESPONSABLES</t>
  </si>
  <si>
    <t>ENTREGABLES SIG</t>
  </si>
  <si>
    <t>COMENTARIOS</t>
  </si>
  <si>
    <t>ÚLT. SEGUIMIENTO</t>
  </si>
  <si>
    <t>% SIG</t>
  </si>
  <si>
    <t>ESTADO</t>
  </si>
  <si>
    <t>AÑO
CIERRE</t>
  </si>
  <si>
    <t>N° PROYECTO</t>
  </si>
  <si>
    <t>NOMBRE DEL PROYECTO</t>
  </si>
  <si>
    <t>TIPO
SGC</t>
  </si>
  <si>
    <t>ALCANCE DEL
SERVICIO</t>
  </si>
  <si>
    <t>ETAPA
ACTUAL</t>
  </si>
  <si>
    <t>FECHA CIERRE
SERVICIO</t>
  </si>
  <si>
    <t>RESPONSABLE
(JEFE)</t>
  </si>
  <si>
    <t>EQUIPO / JS
(referencial)</t>
  </si>
  <si>
    <t>FICHA
PROY.</t>
  </si>
  <si>
    <t>ACS</t>
  </si>
  <si>
    <t>SERVIDOR
SIG</t>
  </si>
  <si>
    <t>EVAL. PROV.
CCP</t>
  </si>
  <si>
    <t>DESEMPEÑO
PROV.</t>
  </si>
  <si>
    <t>LECCIONES
APRENDIDAS</t>
  </si>
  <si>
    <t>REPORTES
(RA)</t>
  </si>
  <si>
    <t>ACTAS
REUNIÓN</t>
  </si>
  <si>
    <t>ESC / SOLICITUD
CLIENTE</t>
  </si>
  <si>
    <t>DEBIDA
DILIGENCIA</t>
  </si>
  <si>
    <t>% CUMPL.
SIG</t>
  </si>
  <si>
    <t>ESTADO
GENERAL</t>
  </si>
  <si>
    <t>APLICA
(aux)</t>
  </si>
  <si>
    <t>PTS
(aux)</t>
  </si>
  <si>
    <t>22999</t>
  </si>
  <si>
    <t>ESCALERA PISO 7 y 8 OFICINAS TMH</t>
  </si>
  <si>
    <t>D</t>
  </si>
  <si>
    <t>SUP</t>
  </si>
  <si>
    <t>F. Choque</t>
  </si>
  <si>
    <t>José Cruz</t>
  </si>
  <si>
    <t>NO APLICA</t>
  </si>
  <si>
    <t>PENDIENTE</t>
  </si>
  <si>
    <t>OK</t>
  </si>
  <si>
    <t>22998</t>
  </si>
  <si>
    <t>MÓDULOS PUKAMANI MAXCO</t>
  </si>
  <si>
    <t>ING</t>
  </si>
  <si>
    <t>M. Becerra</t>
  </si>
  <si>
    <t>22997</t>
  </si>
  <si>
    <t>H.U. VELAMAR ETAPAS 2 Y 3 PISCO</t>
  </si>
  <si>
    <t>C</t>
  </si>
  <si>
    <t>B. López</t>
  </si>
  <si>
    <t>Augusto Quio</t>
  </si>
  <si>
    <t>22996</t>
  </si>
  <si>
    <t>MEDICIÓN RUIDO METRO HUNTER 2026</t>
  </si>
  <si>
    <t>CONS</t>
  </si>
  <si>
    <t>Servicio 02 días</t>
  </si>
  <si>
    <t>22995</t>
  </si>
  <si>
    <t>FARMACIAS PERUANAS 2026-2028</t>
  </si>
  <si>
    <t>A. Ferrer</t>
  </si>
  <si>
    <t>César Menez</t>
  </si>
  <si>
    <t>22994</t>
  </si>
  <si>
    <t>COORDINADORES REAL PLAZA</t>
  </si>
  <si>
    <t>Denis Bermudez</t>
  </si>
  <si>
    <t>22993</t>
  </si>
  <si>
    <t>HVAC RP CAJAMARCA</t>
  </si>
  <si>
    <t>POR INICIAR</t>
  </si>
  <si>
    <t>Fecha de inicio 22-06</t>
  </si>
  <si>
    <t>22992</t>
  </si>
  <si>
    <t>03 SEDES AREQUIPA UTP</t>
  </si>
  <si>
    <t>Dushan Ibarra / Juan Vizcarra</t>
  </si>
  <si>
    <t>22991</t>
  </si>
  <si>
    <t>TALLERES CRC LA JOYA FESA</t>
  </si>
  <si>
    <t>Santiago Guzmán</t>
  </si>
  <si>
    <t>22990</t>
  </si>
  <si>
    <t>TRABAJOS MENORES TORRE IBK</t>
  </si>
  <si>
    <t>CERRADO</t>
  </si>
  <si>
    <t>Alcance 02 visitas</t>
  </si>
  <si>
    <t>22989</t>
  </si>
  <si>
    <t>REFORZAMIENTO EST PTAR SAN CLARA</t>
  </si>
  <si>
    <t>Pablo Duran</t>
  </si>
  <si>
    <t>Fin del servicio 16-05</t>
  </si>
  <si>
    <t>22988</t>
  </si>
  <si>
    <t>AUDITORIA ET MALL PLAZA TRUJILLO</t>
  </si>
  <si>
    <t>RI</t>
  </si>
  <si>
    <t>Proveedor Alfarero</t>
  </si>
  <si>
    <t>22987</t>
  </si>
  <si>
    <t>DIRECTIVAS PROYECTOS AIJC LAP - FASE 03</t>
  </si>
  <si>
    <t>A</t>
  </si>
  <si>
    <t>22986</t>
  </si>
  <si>
    <t>EXPEDIENTE ITSE PRECOR CHILCA</t>
  </si>
  <si>
    <t>CIERRE</t>
  </si>
  <si>
    <t>22985</t>
  </si>
  <si>
    <t>LICITACIÓN UPN ICA</t>
  </si>
  <si>
    <t>LIC</t>
  </si>
  <si>
    <t>22984</t>
  </si>
  <si>
    <t>IISS TORRE INTERBANK</t>
  </si>
  <si>
    <t>Fecha de inicio 24-02
Se realizó la recepción provisional
Informes no se enviaron de manera formal por correo.</t>
  </si>
  <si>
    <t>22983</t>
  </si>
  <si>
    <t>HU LAS HIGUERAS- REDES DE IMPULSIÓN</t>
  </si>
  <si>
    <t>Andrés Fernández</t>
  </si>
  <si>
    <t>22982</t>
  </si>
  <si>
    <t>PAVIMENTACIÓN ENRIQUE MEIGSS - PLANTA DUEÑAS</t>
  </si>
  <si>
    <t>CANCELADO</t>
  </si>
  <si>
    <t>Solo visitas. Proveedor externo
Proyecto cancelado, no se inició servicio.</t>
  </si>
  <si>
    <t>22981</t>
  </si>
  <si>
    <t>UTP TACNA</t>
  </si>
  <si>
    <t>Visita 01 día.</t>
  </si>
  <si>
    <t>22980</t>
  </si>
  <si>
    <t>REFORZAMIENTO ESTRUCTURAL ALAMEDA PLAZA</t>
  </si>
  <si>
    <t>La ingeniería se desarolla con personal de casa
Fecha fin aprox 15-03</t>
  </si>
  <si>
    <t>22979</t>
  </si>
  <si>
    <t>NUEVO PABELLÓN UMA SJL</t>
  </si>
  <si>
    <t>RI, LIC, SUP</t>
  </si>
  <si>
    <t>RI: evaluación de costos de las soluciones de ingeniería que propone la gerencia VITAL.</t>
  </si>
  <si>
    <t>22978</t>
  </si>
  <si>
    <t>AGENCIA BCP TOTTUS PUENTE PIEDRA</t>
  </si>
  <si>
    <t>Edith Gutierrez</t>
  </si>
  <si>
    <t>22977</t>
  </si>
  <si>
    <t>ASCENSORES 15 SEDES INNOVA SCHOOL</t>
  </si>
  <si>
    <t>22976</t>
  </si>
  <si>
    <t>AMPLIACIÓN OFICINA FERREYROS TOQUEPALA CUAJONE</t>
  </si>
  <si>
    <t>LIC, SUP</t>
  </si>
  <si>
    <t>DESCARTADO</t>
  </si>
  <si>
    <t>Proyecto stand by</t>
  </si>
  <si>
    <t>22975</t>
  </si>
  <si>
    <t>REVISIÓN EXPEDIENTES MIFARMA CENCO</t>
  </si>
  <si>
    <t>22974</t>
  </si>
  <si>
    <t>CAMBIO TECNOLOGÍA HVAC PAB. I UPC MONTERRICO</t>
  </si>
  <si>
    <t>Inicio obra 06-11-25</t>
  </si>
  <si>
    <t>22973</t>
  </si>
  <si>
    <t>OUTLET JOCKEY PLAZA LOTE H</t>
  </si>
  <si>
    <t>GP, SUP</t>
  </si>
  <si>
    <t>GP: considera la revisión del expediente técnico y el soporte en el proceso de licitación, ambos ejecutados por el cliente.
Servidor sin información
Obra inicia en febrero 26 aprox.</t>
  </si>
  <si>
    <t>22972</t>
  </si>
  <si>
    <t>PACKING ARÁNDANOS PISCO VANGUARD - INGENIERIA</t>
  </si>
  <si>
    <t>Supendido</t>
  </si>
  <si>
    <t>22971</t>
  </si>
  <si>
    <t>RIEGO PACKING PISCO VANGUARD</t>
  </si>
  <si>
    <t>P. Lavado</t>
  </si>
  <si>
    <t>Eloy Meza</t>
  </si>
  <si>
    <t>22970</t>
  </si>
  <si>
    <t>AGENCIA BCP PEDRO RUIZ CHICLAYO</t>
  </si>
  <si>
    <t>22969</t>
  </si>
  <si>
    <t>INSPECCIÓN ESTRUCTURAL 06 COLEGIOS INNOVA</t>
  </si>
  <si>
    <t>22968</t>
  </si>
  <si>
    <t>TIENDAS MASS 2025-2027</t>
  </si>
  <si>
    <t>ING, SUP</t>
  </si>
  <si>
    <t>22967</t>
  </si>
  <si>
    <t>IMPLEMENTACIÓN DESIGUAL JOCKEY PLAZA</t>
  </si>
  <si>
    <t>Surge como un adicional del proyecto 22948 (desde el 08-09-25)</t>
  </si>
  <si>
    <t>22966</t>
  </si>
  <si>
    <t>RENOVACIÓN 53 LETREROS IBK</t>
  </si>
  <si>
    <t>Inicio 26-12-25
Son aprox. 100 tiendas, se van liberando por paquetes.
Los reportes se codifican por cada sede</t>
  </si>
  <si>
    <t>22965</t>
  </si>
  <si>
    <t>AMPLIACIÓN PABELLÓN D UPC SAN MIGUEL</t>
  </si>
  <si>
    <t>B</t>
  </si>
  <si>
    <t>Samuel Castillo</t>
  </si>
  <si>
    <t>Fin del servicio 25-04</t>
  </si>
  <si>
    <t>22964</t>
  </si>
  <si>
    <t>AGENCIA BCP HUANCAYO</t>
  </si>
  <si>
    <t>Nataly Muñante</t>
  </si>
  <si>
    <t>22963</t>
  </si>
  <si>
    <t>METRO HACIENDA SJL</t>
  </si>
  <si>
    <t>DESCARTADA</t>
  </si>
  <si>
    <t>Duración 1 mes.</t>
  </si>
  <si>
    <t>22962</t>
  </si>
  <si>
    <t>TF PLAZA SAN MIGUEL IBK</t>
  </si>
  <si>
    <t>Servidor sin información
Obra concluye a fines de nov25</t>
  </si>
  <si>
    <t>22961-03</t>
  </si>
  <si>
    <t>REFORZAMIENTO BARANDAS PIURA</t>
  </si>
  <si>
    <t>-</t>
  </si>
  <si>
    <t>ACS: formato cliente</t>
  </si>
  <si>
    <t>22961-02</t>
  </si>
  <si>
    <t>REFORZAMIENTO BARANDAS CHICLAYO</t>
  </si>
  <si>
    <t>22961-01</t>
  </si>
  <si>
    <t>REFORZAMIENTO BARANDAS TRUJILLO</t>
  </si>
  <si>
    <t>22960</t>
  </si>
  <si>
    <t>DIAGNÓSTICO ESTRUCTURAS 05 LOCALES CENCOSUD – INGENIERÍA</t>
  </si>
  <si>
    <t>Victor Ramírez</t>
  </si>
  <si>
    <t>CCP: No aplica. El cliente seleccionó a los proveedores, esto fue comunicado desde la etapa comercial.</t>
  </si>
  <si>
    <t>22959</t>
  </si>
  <si>
    <t>DIAGNÓSTICO ESTRUCTURAS 08 LOCALES CENCOSUD - INGENIERÍA</t>
  </si>
  <si>
    <t>22958</t>
  </si>
  <si>
    <t>AMPLIACIÓN PAB. F UPN CAJAMARCA</t>
  </si>
  <si>
    <t>Inicio de obra estimado dic25
Juan Lara concluyó licitación.</t>
  </si>
  <si>
    <t>22957</t>
  </si>
  <si>
    <t>CAMBIO ALIMENTADORES RP CHICLAYO - 2da ETAPA</t>
  </si>
  <si>
    <t>Nicolas Espinoza</t>
  </si>
  <si>
    <t>Inició obra 01-08, fin 20-11</t>
  </si>
  <si>
    <t>22956</t>
  </si>
  <si>
    <t>IISS MONTEMAR 3 CENTENARIO</t>
  </si>
  <si>
    <t>Supervisor externo</t>
  </si>
  <si>
    <t>22955</t>
  </si>
  <si>
    <t>PACKING PISCO VANGUARD PERÚ</t>
  </si>
  <si>
    <t>César Adrianzen</t>
  </si>
  <si>
    <t>22954</t>
  </si>
  <si>
    <t>OFICINAS CENCOSUD MIRAFLORES</t>
  </si>
  <si>
    <t>Michael Gómez</t>
  </si>
  <si>
    <t>Inicio obra 11-08
Obra concluye a fines de abr26</t>
  </si>
  <si>
    <t>22953</t>
  </si>
  <si>
    <t>CAJA AREQUIPA VILLA MARÍA DEL TRIUNFO</t>
  </si>
  <si>
    <t>RI, SUP</t>
  </si>
  <si>
    <t>Daniel Guevara</t>
  </si>
  <si>
    <t>Inicio obra 31-07</t>
  </si>
  <si>
    <t>22952</t>
  </si>
  <si>
    <t>REVISIÓN EXPEDIENTES LOCATARIOS CENCOSUD</t>
  </si>
  <si>
    <t>Suspendido</t>
  </si>
  <si>
    <t>22951</t>
  </si>
  <si>
    <t>REMODELACIÓN MALL PLAZA HUANCAYO</t>
  </si>
  <si>
    <t>Luis Castañeda</t>
  </si>
  <si>
    <t>Inicio obra 25-08
ACS: Pendiente la última OC</t>
  </si>
  <si>
    <t>22950</t>
  </si>
  <si>
    <t>REVISIÓN EXPEDIENTE IE DIVINO MAESTRO OXI BCP CAÑETE</t>
  </si>
  <si>
    <t>22949</t>
  </si>
  <si>
    <t>REFORZAMIENTO BARANDAS UTP AREQUIPA</t>
  </si>
  <si>
    <t>22948</t>
  </si>
  <si>
    <t>REFORZAMIENTO TIENDA D&amp;G JP</t>
  </si>
  <si>
    <t>Juan Tupayachi</t>
  </si>
  <si>
    <t>Supervisión nocturna
Fin de obra 07-10</t>
  </si>
  <si>
    <t>22947</t>
  </si>
  <si>
    <t>TF REAL PLAZA CUSCO IBK</t>
  </si>
  <si>
    <t>22946</t>
  </si>
  <si>
    <t>TF REAL PLAZA PRO IBK</t>
  </si>
  <si>
    <t>Inicio obra estimado 28-08</t>
  </si>
  <si>
    <t>22945</t>
  </si>
  <si>
    <t>HABILITACIÓN URBANA MONTEMAR CENTENARIO</t>
  </si>
  <si>
    <t>Joseph Anthony Zevallos Armestar</t>
  </si>
  <si>
    <t>22944</t>
  </si>
  <si>
    <t>TF RICARDO PALMA IBK</t>
  </si>
  <si>
    <t>M. Gómez</t>
  </si>
  <si>
    <t>FP: 17-06
Se solicitó acceso</t>
  </si>
  <si>
    <t>22943</t>
  </si>
  <si>
    <t>TF MALL DEL SUR IBK</t>
  </si>
  <si>
    <t>FP: 17-06
Se solicitó acceso 
Supervisión nocturna de manera parcial. Inicio  obra 18-08</t>
  </si>
  <si>
    <t>22942</t>
  </si>
  <si>
    <t>TF EXPRESS AREQUIPA 1 IBK - MALL AVENTURA</t>
  </si>
  <si>
    <t>FP: 17-06 /Se solicitó acceso 
Concluída la etapa de licitación. Proyecto en stand by</t>
  </si>
  <si>
    <t>22941</t>
  </si>
  <si>
    <t>PARQUE LOGÍSTICO ADN GERENCIA ETAPA 2</t>
  </si>
  <si>
    <t>GP</t>
  </si>
  <si>
    <t>Ficha: 15-06-25
Servidor: Solicitar acceso</t>
  </si>
  <si>
    <t>22940</t>
  </si>
  <si>
    <t>INTERVENCIONES ESTRUCTURALES JOCKEY PLAZA (04 proyectos)</t>
  </si>
  <si>
    <t>Julio Cruz</t>
  </si>
  <si>
    <t>22939</t>
  </si>
  <si>
    <t>DESMONTAJE WONG PANORAMA</t>
  </si>
  <si>
    <t>J. Lara</t>
  </si>
  <si>
    <t>Servidor sin información
Trabajos menores</t>
  </si>
  <si>
    <t>22938</t>
  </si>
  <si>
    <t>REFORZAMIENTO IE DIVINO MAESTRO OXI BCP CAÑETE</t>
  </si>
  <si>
    <t>22937</t>
  </si>
  <si>
    <t>REFORZAMIENTO IE MANUEL TOVAR OXI BCP SAYÁN</t>
  </si>
  <si>
    <t>ESC: Pilar Cáceres
ACS: Responsable indica que BCP no quiere firmar, solo por correo indicó conformidad</t>
  </si>
  <si>
    <t>22936</t>
  </si>
  <si>
    <t>TIENDAS MASS 2025</t>
  </si>
  <si>
    <t>Servidor sin información</t>
  </si>
  <si>
    <t>22935</t>
  </si>
  <si>
    <t>UPN LIMA SUR</t>
  </si>
  <si>
    <t>Aldo Bendezú</t>
  </si>
  <si>
    <t>Fin de obra fines de noviembre25.</t>
  </si>
  <si>
    <t>22934</t>
  </si>
  <si>
    <t>IE MARÍA CLARET OXI BCP AQP</t>
  </si>
  <si>
    <t>Carlos Chambilla</t>
  </si>
  <si>
    <t>ACS: Responsable indica que BCP no quiere firmar</t>
  </si>
  <si>
    <t>22933</t>
  </si>
  <si>
    <t>LICORERÍA WONG DOS DE MAYO</t>
  </si>
  <si>
    <t>Servidor sin información
ING: Se realizó con personal planilla</t>
  </si>
  <si>
    <t>22932</t>
  </si>
  <si>
    <t>FARMACIAS PERUANAS 2025</t>
  </si>
  <si>
    <t>22931</t>
  </si>
  <si>
    <t>PLANTA DUEÑAS OESTE ARVUM - ING</t>
  </si>
  <si>
    <t>F. Corvera</t>
  </si>
  <si>
    <t>Servidor sin información
Se cerró seguimiento con pendientes</t>
  </si>
  <si>
    <t>22930</t>
  </si>
  <si>
    <t>REMODELACIÓN MP HUANCAYO - ING</t>
  </si>
  <si>
    <t>Servidor sin información: 13-06
Ingeniería entregada al cliente. 
Solicitar encuesta</t>
  </si>
  <si>
    <t>22929</t>
  </si>
  <si>
    <t>AGENCIA CELENDÍN CAJA AREQUIPA</t>
  </si>
  <si>
    <t>Servidor: completar y ordenar la información.
ACS: En proceso</t>
  </si>
  <si>
    <t>22928</t>
  </si>
  <si>
    <t>AMPLIACIÓN OPEN PLAZA ANGAMOS - ING</t>
  </si>
  <si>
    <t>Fin de servicio 27-04</t>
  </si>
  <si>
    <t>22927</t>
  </si>
  <si>
    <t>05 COLEGIOS GORE OXI BCP</t>
  </si>
  <si>
    <t>EN PROCESO</t>
  </si>
  <si>
    <t>Servicio metrados
Servidor: completar y ordenar la información.
ACS: Responsable indica que BCP no quiere firmar, solo por correo indicó conformidad</t>
  </si>
  <si>
    <t>22926</t>
  </si>
  <si>
    <t>03 TIENDAS METRO LIMA</t>
  </si>
  <si>
    <t>Trabajos de Aire Acondicionado en Independencia, Breña y Barranco. Fecha estimada inicio julio 25.
La órden de compra fue anulada.</t>
  </si>
  <si>
    <t>22925</t>
  </si>
  <si>
    <t>04 TIENDAS METRO ZONA NORTE</t>
  </si>
  <si>
    <t>Luis Chuquilin</t>
  </si>
  <si>
    <t>Inicio febrero25. Trabajos de Aire Acondcionado en Trujillo, Chiclayo y Lambayeque. GRAU, PIZARRO, LAMBAYEQUE, SANTA VICTORIA.
Reportes de obra: han copiado a calidad recién desde el 20.05. La obra inicio en febrero. 
Pizarro, Grau y Lambayeque en proceso de cierre
El servicio de SIGRAL cierra 04-06.
Servidor: falta adicionales, dossier, control del servicio, valorizaciones, control del servicio, otros aplicables.</t>
  </si>
  <si>
    <t>22924</t>
  </si>
  <si>
    <t>03 PROYECTOS UPN CAJAMARCA</t>
  </si>
  <si>
    <t>Dany Tacilla</t>
  </si>
  <si>
    <t>Valorizaciones, liquidación por parte del cliente.
Dossier: solo calidad.
ACS: 15-06-25</t>
  </si>
  <si>
    <t>22923</t>
  </si>
  <si>
    <t>AUDITORÍA DE COSTOS CLUB DE REGATAS LA CANTUTA</t>
  </si>
  <si>
    <t>R. Nuñez</t>
  </si>
  <si>
    <t>Moises Becerra / Eddy P</t>
  </si>
  <si>
    <t>Personal no labora en la empresa</t>
  </si>
  <si>
    <t>22922</t>
  </si>
  <si>
    <t>IISS Y CLIMA CLUB DE REGATAS CHORRILLOS</t>
  </si>
  <si>
    <t>22921</t>
  </si>
  <si>
    <t>COLEGIO LUIS ALBERTO SÁNCHEZ BCP</t>
  </si>
  <si>
    <t>Dossier QA/SSTMA entregado directamente por el contratista.
Conformidad solo por correo.</t>
  </si>
  <si>
    <t>22920</t>
  </si>
  <si>
    <t>TF JIRÓN DE LA UNIÓN IBK</t>
  </si>
  <si>
    <t>STAND BY</t>
  </si>
  <si>
    <t>Proyecto en stand by, en proceso de trámite de licencia.
Licitación cerrada.
Servidor actualizado a mayo25.</t>
  </si>
  <si>
    <t>22919</t>
  </si>
  <si>
    <t>PREVENTORIO DE SALUD UPN PUENTE PIEDRA</t>
  </si>
  <si>
    <t>Eddy Portocarrero</t>
  </si>
  <si>
    <t>Dossier: se cargo dossier con observaciones. El seguimiento no fue parte de nuestro servicio, el plazo termino.
ACS: 14-06-25.
Conformidad de pago valorización 01 no se firma por parte de SIGRAL, se facturo.
Proyecto menor</t>
  </si>
  <si>
    <t>22918</t>
  </si>
  <si>
    <t>REPARACIÓN FISURAS RP CUSCO</t>
  </si>
  <si>
    <t>Servidor sin información
MG solicitará acceso al servidor y cargar los entregables.</t>
  </si>
  <si>
    <t>22917</t>
  </si>
  <si>
    <t>ACTUALIZACIÓN OFICINA QUBO</t>
  </si>
  <si>
    <t>C. Valdizán</t>
  </si>
  <si>
    <t>No considerar dentro del SIG</t>
  </si>
  <si>
    <t>22916</t>
  </si>
  <si>
    <t>MM PAITA IBK</t>
  </si>
  <si>
    <t>ACS: 13-06</t>
  </si>
  <si>
    <t>22915</t>
  </si>
  <si>
    <t>AGENCIA NEX GEN BCP CAYMA</t>
  </si>
  <si>
    <t>Dossier QA/SSTMA. Sigral no ha validado la versión final, el servicio ya había concluido. La contratista entrego directamente al cliente. Se indica el estatus en el informe final.
ACS: Responsable indica que BCP no quiere firmar</t>
  </si>
  <si>
    <t>22914</t>
  </si>
  <si>
    <t>INSTALACIÓN PANTALLAS RP PURUCHUCO</t>
  </si>
  <si>
    <t>C. Castillo</t>
  </si>
  <si>
    <t>Servidor actualizado al 11-11 por Carlos Castillo. 
No se evidencian reportes de obra</t>
  </si>
  <si>
    <t>22913</t>
  </si>
  <si>
    <t>PLATAFORMA MANTENIMIENTO LATAM</t>
  </si>
  <si>
    <t>Giancarlo G</t>
  </si>
  <si>
    <t>DD: Pendiente firma de Pedro Lavado
Sevidor: cerrado con observaciones. El responsable ya no labora en SIGRAL.</t>
  </si>
  <si>
    <t>22912</t>
  </si>
  <si>
    <t>UTP AREQUIPA IV ETAPA 3</t>
  </si>
  <si>
    <t>Delia Garcia</t>
  </si>
  <si>
    <t>Continuación del 22864
Servidor sin información. PL indicó que se maneja en SHAREPOINT.</t>
  </si>
  <si>
    <t>22911</t>
  </si>
  <si>
    <t>CAMPUS UPN -ATE</t>
  </si>
  <si>
    <t>Término de obra jun25
Servidor: 20-06</t>
  </si>
  <si>
    <t>22910-03</t>
  </si>
  <si>
    <t>03 GLOBAL EXCHANGE AIJC - GEX066</t>
  </si>
  <si>
    <t>Juan Cobeñas</t>
  </si>
  <si>
    <t>Servidor actualizado al 11-11 por Carlos Castillo.
Término de obra fin de nov / La obra lo extendieron hasta finales de enero</t>
  </si>
  <si>
    <t>22910-02</t>
  </si>
  <si>
    <t>03 GLOBAL EXCHANGE AIJC - GEX056</t>
  </si>
  <si>
    <t>22910-01</t>
  </si>
  <si>
    <t>03 GLOBAL EXCHANGE AIJC - GEX015</t>
  </si>
  <si>
    <t>Servidor actualizado al 11-11 por Carlos Castillo.
Término de obra fin de nov / La obra lo extendieron hasta finales de enero
ACS: 1 registro para los 03 subproyectos.
Puch list y ARD: En proceso de cierre de observaciones
ESC: Miguel Angel Blanco</t>
  </si>
  <si>
    <t>22909</t>
  </si>
  <si>
    <t>ESTRUCTURA COLGANTES RP PURUCHUCO</t>
  </si>
  <si>
    <t>C. Castillo / Michael Gómez</t>
  </si>
  <si>
    <t>Servidor actualizado al 11-11 por Carlos Castillo.</t>
  </si>
  <si>
    <t>22908</t>
  </si>
  <si>
    <t>CONSULTORÍA LIMA CARGO CITY</t>
  </si>
  <si>
    <t>22907</t>
  </si>
  <si>
    <t>PALACIO DEL DEPORTE CLUB DE REGATAS - AUDITORÍA</t>
  </si>
  <si>
    <t>22906</t>
  </si>
  <si>
    <t>03 LOCALES COOLBOX P30 AIJC</t>
  </si>
  <si>
    <t>Giorgio Lara</t>
  </si>
  <si>
    <t>Valorizaciones, adicionales, liquidación no es parte del servicio.
Pendiente punch list cerrado y ARD (La duración del servicio concluyó antes del cierre a solicitud del cliente). 
AET no se evidencia
ESC: Karen Agurto / Silvana A
Dossier de seguridad: Un solo expediente para las 03 tiendas.
Dossier de calidad: en levantamiento de observaciones. Se presetará un solo expediente para las 03 tiendas. 06-06-25
ACS: enviada al cliente, pendiente firmas. Cliente no responde.
Pendiente por parte del cliente la OC del adicional 1 y posterior facturar</t>
  </si>
  <si>
    <t>22905</t>
  </si>
  <si>
    <t>SUPERMERCADO MAQUINARIAS</t>
  </si>
  <si>
    <t>Sevidor: cerrado con observaciones. El responsable ya no labora en SIGRAL. Pendiente control del servicio.</t>
  </si>
  <si>
    <t>22904</t>
  </si>
  <si>
    <t>INSTALACIONES ELÉCTRICAS UPC SAN ISIDRO</t>
  </si>
  <si>
    <t>Dossier: solo protocolos</t>
  </si>
  <si>
    <t>22903</t>
  </si>
  <si>
    <t>NEW ALS HUB CALLAO LINDCORP - INGENIERÍA</t>
  </si>
  <si>
    <t>Servidor sin información: base documental en sharePoint (Pedro Lavado).
Expediente Técnico (BIM 360 DOCS)
ESC: Gustavo Caballero
ACS: Fecha estimada de envío al cliente 21-07 (Se remitió al cliente para su firma)</t>
  </si>
  <si>
    <t>22902</t>
  </si>
  <si>
    <t>03 EDIFICIOS SENATI IIEE - INGENIERÍA</t>
  </si>
  <si>
    <t>Fecha de cierre marzo26</t>
  </si>
  <si>
    <t>22901</t>
  </si>
  <si>
    <t>PLANTA NEW ALS - INGENIERÍA</t>
  </si>
  <si>
    <t>Jesús Bolaños</t>
  </si>
  <si>
    <t>Servidor sin información: base documental en sharePoint (Pedro Lavado).
Expediente Técnico (BIM 360 DOCS)
ESC: Vladimir Larrea
ACS: Fecha estimada de envío al cliente 13-06
Adicional en proceso. (ACS - No se tiene cierre técnico del Proyecto)</t>
  </si>
  <si>
    <t>22900</t>
  </si>
  <si>
    <t>RECONVERSIÓN MOTORPLAZA MP COMAS</t>
  </si>
  <si>
    <t>No iniciará hasta el 2025</t>
  </si>
  <si>
    <t>22899</t>
  </si>
  <si>
    <t>AGENCIA NEXT GEN PURUCHUCO BCP</t>
  </si>
  <si>
    <t>Flor Palomino</t>
  </si>
  <si>
    <t>Inicio obra 15-08
El proceso de cierre no fue parte del servicio ya que éste concluyó antes que termine la obra.</t>
  </si>
  <si>
    <t>22898</t>
  </si>
  <si>
    <t>CAMBIO ALIMENTADORES RP CHICLAYO</t>
  </si>
  <si>
    <t>Servidor: completar control del servicio: valorizaciones, 01, 02, OC. Completar reportes y actas. Respuestas RDIs.
1era etapa cerrado. Pendiente adicional 1era etapa. 
ACS: Se generará terminando el adicional. 30-09
Fecha de cierre pendiente 09-06.</t>
  </si>
  <si>
    <t>22897</t>
  </si>
  <si>
    <t>EXPRESS ICA IBK</t>
  </si>
  <si>
    <t>Cynthia Jerí</t>
  </si>
  <si>
    <t>Servidor actualizado a julio
Termino de obra a fines de setiembre
ESC: Eyleen 
ACS: 17-06</t>
  </si>
  <si>
    <t>22896</t>
  </si>
  <si>
    <t>EXPEDIENTES LOCATARIOS CENCOSUD</t>
  </si>
  <si>
    <t>F. Corvera / (Revisión)</t>
  </si>
  <si>
    <t>Servidor: actualizado solo la etapa de ago24 en adelante.
Pendiente envío por parte del cliente de las órdenes de servicio.
ACS: elaborar el documento y enviarlo al completar las OS.
Se cerró seguimiento con pendientes</t>
  </si>
  <si>
    <t>22895</t>
  </si>
  <si>
    <t>OFICINA QUBO PMP</t>
  </si>
  <si>
    <t>Servidor: se cargo el entregable final.</t>
  </si>
  <si>
    <t>22894</t>
  </si>
  <si>
    <t>REMODELACIÓN METRO SJL</t>
  </si>
  <si>
    <t>Servidor: actualizado solo la etapa de ago24 en adelante.
Pendiente levantamiento de observaciones de sanitarias y revisión de IIEE (A nivel municipal). Se levantó observaciones, pendiente respuesta de la municipal.
El alcance del servicio incluye aprobación municipal.
Pendiente OS por adicional ploteos.
ACS: Elaborar el registro y enviar al cliente al cierre de las observaciones.Fines de julio.
Solicitar acceso servidor.
ESC: Angela Alavedra
EPSP: No se evalúo a Edson Siña, Laura Morales, Huari
El proceso de ingeniería concluído.</t>
  </si>
  <si>
    <t>22893</t>
  </si>
  <si>
    <t>TAI LOY Y VACANCY RP CUSCO</t>
  </si>
  <si>
    <t>Kenia</t>
  </si>
  <si>
    <t>ACS: enviada al cliente, no responde</t>
  </si>
  <si>
    <t>22892</t>
  </si>
  <si>
    <t>08 COLEGIOS BICENTENARIO PQT 3</t>
  </si>
  <si>
    <t>Moises Becerra</t>
  </si>
  <si>
    <t>Supervisión sin instalaciones a nivel de pruebas (PRE y COM)</t>
  </si>
  <si>
    <t>22891</t>
  </si>
  <si>
    <t>TIENDAS MASS 2024</t>
  </si>
  <si>
    <t>22890-02</t>
  </si>
  <si>
    <t>HELIPUERTO TORRE IBK</t>
  </si>
  <si>
    <t>Juan Contreras</t>
  </si>
  <si>
    <t>C. Castillo actualizó servidor al 11-11-24
Liquidación: verificar versión final (Juan Lara)</t>
  </si>
  <si>
    <t>22890-01</t>
  </si>
  <si>
    <t>ALERO TORRE IBK</t>
  </si>
  <si>
    <t>C. Castillo actualizó servidor al 11-11-24
Liquidación: verificar versión final (Juan Lara)
Dossier: Trabajos de mantenimiento, no se generó dossier C/SSTMA</t>
  </si>
  <si>
    <t>22890</t>
  </si>
  <si>
    <t>ALERO Y HELIPUERTO TORRE IBK</t>
  </si>
  <si>
    <t>ESC: Francisco Ocon, Juan Carlos Díaz
ACS: 15-06-25</t>
  </si>
  <si>
    <t>22889</t>
  </si>
  <si>
    <t>REMODELACIÓN OFICINAS CENTRO CÍVICO IBK</t>
  </si>
  <si>
    <t>Servidor actualizado a julio
ESC: Gabriela Toralva a fines agosto.
Debida Diligencia de proveedores pendiente: 31-07</t>
  </si>
  <si>
    <t>22888</t>
  </si>
  <si>
    <t>EVALUACIÓN ESTRUCTURAL PROSEGUR SURQUILLO</t>
  </si>
  <si>
    <t>N. Cruz</t>
  </si>
  <si>
    <t>22887-02</t>
  </si>
  <si>
    <t>04 LOCALES DOLLAR CITY (CUSCO)</t>
  </si>
  <si>
    <t>Kenia Gianella Baldarrago</t>
  </si>
  <si>
    <t>Servidor actualizado a julio
No han emitido reportes de avance de obra al área SIG.
Servidor: verificar que las carpetas contengan toda la información gestionada en obra. 13-06</t>
  </si>
  <si>
    <t>22887-01</t>
  </si>
  <si>
    <t>04 LOCALES DOLLAR CITY ( SULLANA)</t>
  </si>
  <si>
    <t>Joe Pérez</t>
  </si>
  <si>
    <t>Servidor: verificar que las carpetas contengan toda la información gestionada en obra. 13-06
No han emitido reportes de avance de obra al área SIG.
ESC: Alfredo Ulloa</t>
  </si>
  <si>
    <t>22886</t>
  </si>
  <si>
    <t>CFP SENATI HUAURA - MODELO BIM</t>
  </si>
  <si>
    <t>Servidor: completar los RDI respondidos.</t>
  </si>
  <si>
    <t>22885</t>
  </si>
  <si>
    <t>TF PIURA IBK</t>
  </si>
  <si>
    <t>22884</t>
  </si>
  <si>
    <t>12 COLEGIOS BICENTENARIO PQT 04 DVC-SACEEM</t>
  </si>
  <si>
    <t>Supervisión sin instalaciones a nivel de pruebas (PRE y COM)
ACS: formato del cliente, completar ACS faltantes.</t>
  </si>
  <si>
    <t>22883</t>
  </si>
  <si>
    <t>SCI YANBAL CE PASEO PRADO - INGENIERÍA</t>
  </si>
  <si>
    <t>FP/CCP: El responsable de este proceso ya no labora en SIGRAL, no dejo data en el servidor.
Servidor: ordenar la información y completar. 30-06-25
ACS: Responsable indica que tiene problemas con el cliente</t>
  </si>
  <si>
    <t>22882</t>
  </si>
  <si>
    <t>TF CHICLAYO STA VICTORIA IBK</t>
  </si>
  <si>
    <t>Servicio: revisión de propuesta económica</t>
  </si>
  <si>
    <t>22881</t>
  </si>
  <si>
    <t>TF LOUNGE NUEVO AIJC LAP IBK</t>
  </si>
  <si>
    <t>Obra término el 04-11 
Dossier: 06-06
ACS: 20-06 (ACS - 21-07, Proyecto aún no se cierra, por lo que LAP no aprueba el ACS, en la semana regulariza)
EPSP: 20-06, LA: 06-06
Servidor: completar las NC faltantes/OBS: Expediente de cierre. De haber solicitudes abiertas indicarlo de manera formal. 17-06
ESC: Abril - Johana Delgado</t>
  </si>
  <si>
    <t>22880</t>
  </si>
  <si>
    <t>BOULEVARD MP TRUJILLO 2DA ETAPA</t>
  </si>
  <si>
    <t>Darwin Hoyos</t>
  </si>
  <si>
    <t>22879-04</t>
  </si>
  <si>
    <t>MONEY MARKET IBK - SAENZ PEÑA</t>
  </si>
  <si>
    <t>Servidor actualizado al 11-11.</t>
  </si>
  <si>
    <t>22879-03</t>
  </si>
  <si>
    <t>MONEY MARKET IBK - VMT</t>
  </si>
  <si>
    <t>22879-02</t>
  </si>
  <si>
    <t>MONEY MARKET IBK - HIGUERETA</t>
  </si>
  <si>
    <t>Silvia López</t>
  </si>
  <si>
    <t>22879-01</t>
  </si>
  <si>
    <t>MONEY MARKET IBK - BOLICHERA</t>
  </si>
  <si>
    <t>Servidor actualizado al 11-11.
ACS: generar 1 solo documento para las 4 tiendas.</t>
  </si>
  <si>
    <t>22879</t>
  </si>
  <si>
    <t>04 MONEY MARKET IBK</t>
  </si>
  <si>
    <t>ACS:  13-06 envío al cliente</t>
  </si>
  <si>
    <t>22878</t>
  </si>
  <si>
    <t>MONEY MARKET SALAMANCA IBK</t>
  </si>
  <si>
    <t>22877</t>
  </si>
  <si>
    <t>COLEGIO SAN MIGUEL ICA BCP</t>
  </si>
  <si>
    <t>Juan Lara</t>
  </si>
  <si>
    <t>ACS: Cliente no responde
ACS: Responsable indica que BCP no quiere firmar</t>
  </si>
  <si>
    <t>22876</t>
  </si>
  <si>
    <t>TIENDA FINANCIERA SJL - IBK</t>
  </si>
  <si>
    <t>22875</t>
  </si>
  <si>
    <t>ALMACÉN HORTUS MEGACENTRO</t>
  </si>
  <si>
    <t>Mariley Huarcaya</t>
  </si>
  <si>
    <t>Servidor sin información. PL indicó que se maneja en SHAREPOINT.</t>
  </si>
  <si>
    <t>22874</t>
  </si>
  <si>
    <t>MAESTRO CHACARILLA - INGENIERÍA</t>
  </si>
  <si>
    <t>Servidor: actualizado solo la etapa de ago24 en adelante.
En proceso de levantamiento de observaciones municipales 
EPSP: Los registros corresponden a la gestión del 1er semestre del 2024. 
EPSP: Evaluación del 2do semestre 2024.
EPSP: No se evalúo a Edson Siña, JADABO
ACS: Se enviará al cliente.
Se cerró seguimiento con pendientes</t>
  </si>
  <si>
    <t>22873</t>
  </si>
  <si>
    <t>TECHOS METRO BELLAVISTA</t>
  </si>
  <si>
    <t>Julio Benites / Jhonatan Palacios</t>
  </si>
  <si>
    <t>ESC: Jose Luis Valverde
Servidor: actualizado por Carlos Castillo al 11-11-24.
Dossier: carpetas vacías, la información no esta completa. 
LA: personal resposable no generó el archivo.
ACS: Juan Lara gestionará el documento. Fecha 15-06-25.</t>
  </si>
  <si>
    <t>22872</t>
  </si>
  <si>
    <t>FARMACIAS PERUANAS 2024</t>
  </si>
  <si>
    <t>22871</t>
  </si>
  <si>
    <t>TECHOS Y COBERTURAS 04 TIENDAS METRO - INGENIERÍA</t>
  </si>
  <si>
    <t>Francisco choque</t>
  </si>
  <si>
    <t>EPSP: Solo lo revisado por Francisco Choque
FP/ CCP: No se generó, el responsable de esa etapa ya no labora en SIGRAL.
ACS: Se emitirá  el 27-06-25. (22-07-25 Responsable indica que está en proceso aún)</t>
  </si>
  <si>
    <t>22870-03</t>
  </si>
  <si>
    <t>TECHOS - WONG AURORA</t>
  </si>
  <si>
    <t>Incio de obra estimado noviembre 2026.
Stand by (no inicio)</t>
  </si>
  <si>
    <t>22870-02</t>
  </si>
  <si>
    <t>TECHOS - WONG CHACARILLA</t>
  </si>
  <si>
    <t>Edilberto Martínez</t>
  </si>
  <si>
    <t>Inició obra 11-08
Fin de obra febrero26</t>
  </si>
  <si>
    <t>22870-01</t>
  </si>
  <si>
    <t>TECHOS - WONG DOS DE MAYO</t>
  </si>
  <si>
    <t>Inició obra 04-08
Fin de obra enero26</t>
  </si>
  <si>
    <t>22870</t>
  </si>
  <si>
    <t>TECHOS 03 TIENDAS WONG
DOS DE MAYO
CHACARILLA
AURORA</t>
  </si>
  <si>
    <t>ESC: solo por el proceso de ingeniería.
FP/CCP: No se generó, el responsable de esa etapa ya no labora en SIGRAL.
ING concluida. Proceso de supervisión fecha estimada de inicio de obras agosto 25 (DOS DE MAYO)
ACS: Se emitirá por el proceso de ING. Fecha estimada de envío 20-06-25. (22-07 Responsable indica que está en proceso)</t>
  </si>
  <si>
    <t>22869</t>
  </si>
  <si>
    <t>MEDICIÓN DE RUIDO METRO HUNTER</t>
  </si>
  <si>
    <t>FP/Servidor sin información
Se encuentra en proceso de cierre, levantamiento de observaciones. FCH solicitar acceso al servidor y cargar lo aplicable.</t>
  </si>
  <si>
    <t>22868</t>
  </si>
  <si>
    <t>SALAS PEDAGÓGICAS COLEGIO LINCOLN - INGENIERÍA</t>
  </si>
  <si>
    <t>ACS:  13-06 envío al cliente
CCP: completar las cotizaciones de los postores no adjudicados.
EPSP: Evaluación y retroalimentación. 13-06</t>
  </si>
  <si>
    <t>22867</t>
  </si>
  <si>
    <t>LABORATORIOS UPC MONTERRICO Y SAN MIGUEL</t>
  </si>
  <si>
    <t>Juan Torres</t>
  </si>
  <si>
    <t>ACS: formato cliente. Se emite por cada valorización.</t>
  </si>
  <si>
    <t>22866</t>
  </si>
  <si>
    <t>PARQUE LOGÍSTICO CALLAO ADN - ETAPA I</t>
  </si>
  <si>
    <t>Victor Llamosas</t>
  </si>
  <si>
    <t>22865</t>
  </si>
  <si>
    <t>PLAZA SAN SEBASTIÁN OXI BCP</t>
  </si>
  <si>
    <t>Elio Durand</t>
  </si>
  <si>
    <t>Servidor: se maneja ONE DRIVE compartido con el equipo de supervisión. Actualizado a marzo. Solicitar actualización a mayo.
Reinicio de obra: febrero24, fin de obra abr25.</t>
  </si>
  <si>
    <t>22864</t>
  </si>
  <si>
    <t>UTP AREQUIPA IV ETAPA 2</t>
  </si>
  <si>
    <t>ARO: solo se enviaron 02 actas en la gestión 2023.
Servidor sin información. PL indicó que se maneja en SHAREPOINT.</t>
  </si>
  <si>
    <t>22863</t>
  </si>
  <si>
    <t>DIRECTIVAS PROYECTOS TI AIJC LAP</t>
  </si>
  <si>
    <t>Servidor: 02-12-24</t>
  </si>
  <si>
    <t>22861</t>
  </si>
  <si>
    <t>AGENCIA MERCADERES CAJA AQP</t>
  </si>
  <si>
    <t>Julio García</t>
  </si>
  <si>
    <t>EPSP: contratista principal</t>
  </si>
  <si>
    <t>22860</t>
  </si>
  <si>
    <t>TIENDAS MASS 2023-2024 (desde octubre23)</t>
  </si>
  <si>
    <t>22857-01</t>
  </si>
  <si>
    <t>LOTE COMERCIAL PF-03 A</t>
  </si>
  <si>
    <t>Franklin Alayo / Jose Cama</t>
  </si>
  <si>
    <t>FP: 18-01
Los reportes de cargan a la plataforma de manera directa.</t>
  </si>
  <si>
    <t>22857</t>
  </si>
  <si>
    <t>ALMACÉN PARCELA F LAP IKSA - SUPERVISIÓN</t>
  </si>
  <si>
    <t>22856</t>
  </si>
  <si>
    <t>REMODELACIÓN SSHH JOCKEY PLAZA</t>
  </si>
  <si>
    <t>22854</t>
  </si>
  <si>
    <t>ACI CENTRO EMPRESARIAL PASEO PRADO LA CAJA</t>
  </si>
  <si>
    <t>Jhon Bardales / Pedro López</t>
  </si>
  <si>
    <t>22852</t>
  </si>
  <si>
    <t>LOCALES MALL AVENTURA SAN JUAN</t>
  </si>
  <si>
    <t>Vienen copiando los reportes a partir del mes de octubre
Cierre estimado 15-02</t>
  </si>
  <si>
    <t>22851</t>
  </si>
  <si>
    <t>DIRECTIVAS PROYECTOS AIJCH LAP - FASE 02</t>
  </si>
  <si>
    <t>22847</t>
  </si>
  <si>
    <t>EDIFICIO INSIGNIA CAMPUS 2 USIL - INGENIERÍA</t>
  </si>
  <si>
    <t>Michael G</t>
  </si>
  <si>
    <t>Debida Diligencia de proveedores pendiente: 30-08
DDP: Requerimiento SIG
EPSP: Se realizó una retroalimentación al proveedor sobre aspectos desfavorables durante el servicio.</t>
  </si>
  <si>
    <t>22846</t>
  </si>
  <si>
    <t>MEGACENTRO INDUSTRIALES SUR</t>
  </si>
  <si>
    <t>Servidor actualizado junio 2024</t>
  </si>
  <si>
    <t>22845</t>
  </si>
  <si>
    <t>Se suspendió la obra
CCP: No se realizó porque son proveedores del cliente.</t>
  </si>
  <si>
    <t>22841</t>
  </si>
  <si>
    <t>POSTA DE SALUD ANTAUTA MINSUR - FASE 02</t>
  </si>
  <si>
    <t>Jorge Puertas</t>
  </si>
  <si>
    <t>Servidor sin información: 24-06-24
Se debe organizar y separar del proyecto 22813.</t>
  </si>
  <si>
    <t>22838-05</t>
  </si>
  <si>
    <t>TF NAVARRETE</t>
  </si>
  <si>
    <t>Fin de obra 18-04
LA: 26-08</t>
  </si>
  <si>
    <t>22838-01</t>
  </si>
  <si>
    <t>IMPLEMENTACION DE LA TF 144 y MM 145</t>
  </si>
  <si>
    <t>El cliente se encargará de la liquidación y la recepción y revisión del dossier. 
ESC: María Pía (Eyleen Cantorin) (25-05)</t>
  </si>
  <si>
    <t>22838</t>
  </si>
  <si>
    <t>AGENCIAS Y SEDES INTERBANK</t>
  </si>
  <si>
    <t>22837</t>
  </si>
  <si>
    <t>MEJORAS DE ÁREA DE SEGURIDAD AIJC</t>
  </si>
  <si>
    <t>C. Valdizan / J. Benites (SUP)</t>
  </si>
  <si>
    <t>22835</t>
  </si>
  <si>
    <t>FARMACIAS PERUANAS 2023</t>
  </si>
  <si>
    <t>Dossier: la revisión se realiza directamente el servidor del cliente. Descargar la data del sharepoint del cliente.
ACS: El servicio aún no concluye, en proceso de cierre. Fecha estimada abril 24.
Servidor: actualizado a la fecha, pendiente descargar dossier y lo que se genere del proceso de cierre.</t>
  </si>
  <si>
    <t>22825</t>
  </si>
  <si>
    <t>REMODELACIÓN TF SUCRE</t>
  </si>
  <si>
    <t>ACS: 29-08</t>
  </si>
  <si>
    <t>22824</t>
  </si>
  <si>
    <t>REMODELACIÓN TF CAJAMARCA</t>
  </si>
  <si>
    <t>Obra término el 20-05</t>
  </si>
  <si>
    <t>22823</t>
  </si>
  <si>
    <t>TIENDAS MASS 2023</t>
  </si>
  <si>
    <t>ACS: Pendiente conciliar presupuesto de Arequipa (por temas del contratista)
Servidor: actualizado a marzo, solo faltaría lo relacionado al cierre del presupuesto.</t>
  </si>
  <si>
    <t>22815</t>
  </si>
  <si>
    <t>CFP SENATI PIURA</t>
  </si>
  <si>
    <t>Franklin Alayo</t>
  </si>
  <si>
    <t>Actas y reportes: los envíos al área SIG no se hacen de manera recurrente. Solo envía los reportes mensuales.
ACS: formato cliente
LA: formato word</t>
  </si>
  <si>
    <t>22786</t>
  </si>
  <si>
    <t>CC CAMINO REAL</t>
  </si>
  <si>
    <t>ING, LIC</t>
  </si>
  <si>
    <t>Servidor: se solicitó acceso a TI.
Pendiente descargar ACS, EPSP, LA.
Se cierra seguimiento con pendientes.</t>
  </si>
  <si>
    <t>22778-10</t>
  </si>
  <si>
    <t>METRO BELLAVISTA</t>
  </si>
  <si>
    <t>ACS/ESC: Se gestionará con el 22873 (obra)
DD Proveedores: Equilibrio3 - 1era semana de junio</t>
  </si>
  <si>
    <t>22777</t>
  </si>
  <si>
    <t>PARQUE LOGÍSTICO CALLAO ADN - LIC - OBRA (obras preliminares)</t>
  </si>
  <si>
    <t>Servidor sin información. PL indicó que se maneja en SHAREPOINT.
Ficha de Proyecto: debe actualizarse con el alcance total del servicio.
ESC: realizar una encuesta por el servicio hasta la fecha incluyendo la gestión 2024.</t>
  </si>
  <si>
    <t>DASHBOARD DE SEGUIMIENTO DE PROYECTOS</t>
  </si>
  <si>
    <t>Actualizado 29/05/2026   ·   CONFORME ≥ 90%  |  EN RIESGO 50–89%  |  CRÍTICO &lt; 50%</t>
  </si>
  <si>
    <t>🔍  FILTRAR POR AÑO DE CIERRE:</t>
  </si>
  <si>
    <t>← Escribir: 0=TODOS / 2024 / 2025 / 2026</t>
  </si>
  <si>
    <t xml:space="preserve">  📊  RESUMEN GENERAL DE PROYECTOS</t>
  </si>
  <si>
    <t>TOTAL
PROYECTOS</t>
  </si>
  <si>
    <t>PROYECTOS
ACTIVOS</t>
  </si>
  <si>
    <t>CERRADOS</t>
  </si>
  <si>
    <t>CANCELADOS</t>
  </si>
  <si>
    <t>% SIG PROM.</t>
  </si>
  <si>
    <t>En base de datos</t>
  </si>
  <si>
    <t>Excluye cerrados</t>
  </si>
  <si>
    <t>Etapa CERRADO</t>
  </si>
  <si>
    <t>Etapa CANCELADO</t>
  </si>
  <si>
    <t>Suspendidos</t>
  </si>
  <si>
    <t>Acumulado todos los proyectos</t>
  </si>
  <si>
    <t xml:space="preserve">  🚦  ESTADO GENERAL — DISTRIBUCIÓN</t>
  </si>
  <si>
    <t>CONFORME</t>
  </si>
  <si>
    <t>EN RIESGO</t>
  </si>
  <si>
    <t>CRITICO</t>
  </si>
  <si>
    <t>S/D</t>
  </si>
  <si>
    <t>≥ 90% SIG</t>
  </si>
  <si>
    <t>50–89% SIG</t>
  </si>
  <si>
    <t>&lt; 50% SIG</t>
  </si>
  <si>
    <t>Sin datos</t>
  </si>
  <si>
    <t xml:space="preserve">  📋  SEGUIMIENTO POR ENTREGABLE SIG</t>
  </si>
  <si>
    <t>ENTREGABLE</t>
  </si>
  <si>
    <t>APLICA</t>
  </si>
  <si>
    <t>OK (falta
firma)</t>
  </si>
  <si>
    <t>EN
PROCESO</t>
  </si>
  <si>
    <t>NO
APLICA</t>
  </si>
  <si>
    <t>% CUMPL.</t>
  </si>
  <si>
    <t>FICHA DE PROYECTO</t>
  </si>
  <si>
    <t>ACTA DE CONFORMIDAD (ACS)</t>
  </si>
  <si>
    <t>ACTUALIZACIÓN SERVIDOR</t>
  </si>
  <si>
    <t>EVAL. SELECCIÓN PROV. / CCP</t>
  </si>
  <si>
    <t>DESEMPEÑO PROV. (EPSP)</t>
  </si>
  <si>
    <t>LECCIONES APRENDIDAS</t>
  </si>
  <si>
    <t>REPORTES (RA)</t>
  </si>
  <si>
    <t>ACTAS DE REUNIÓN</t>
  </si>
  <si>
    <t xml:space="preserve">  👤  CUMPLIMIENTO POR RESPONSABLE — JEFE DE PROYECTO</t>
  </si>
  <si>
    <t>RESPONSABLE</t>
  </si>
  <si>
    <t>ACTIVOS</t>
  </si>
  <si>
    <t>LEYENDA DE COLORES Y LÓGICA DE ESTADOS</t>
  </si>
  <si>
    <t>ESTADOS ENTREGABLES (cols J–S) — cambian automáticamente al editar</t>
  </si>
  <si>
    <t>Entregable completado y conforme</t>
  </si>
  <si>
    <t>En elaboración o levantando observaciones</t>
  </si>
  <si>
    <t>No iniciado — requiere acción inmediata</t>
  </si>
  <si>
    <t>El servicio no requiere este entregable</t>
  </si>
  <si>
    <t>Descartado por decisión del cliente</t>
  </si>
  <si>
    <t>Sin información</t>
  </si>
  <si>
    <t>% SIG (col V) — se recalcula automáticamente</t>
  </si>
  <si>
    <t>≥ 90%</t>
  </si>
  <si>
    <t>→  CONFORME</t>
  </si>
  <si>
    <t>50–89%</t>
  </si>
  <si>
    <t>→  EN RIESGO</t>
  </si>
  <si>
    <t>&lt; 50%</t>
  </si>
  <si>
    <t>→  CRÍTICO</t>
  </si>
  <si>
    <t>ESTADO GENERAL (col W) — se actualiza automáticamente</t>
  </si>
  <si>
    <t>Activo con % SIG ≥ 90%</t>
  </si>
  <si>
    <t>Activo con % SIG 50–89%</t>
  </si>
  <si>
    <t>Activo con % SIG &lt; 50%</t>
  </si>
  <si>
    <t>Etapa = CERRADO</t>
  </si>
  <si>
    <t>Etapa = CANCELADO</t>
  </si>
  <si>
    <t>Etapa = STAND BY</t>
  </si>
  <si>
    <t>Etapa = DESCARTADO</t>
  </si>
  <si>
    <t>Sin datos suficientes</t>
  </si>
  <si>
    <t>DASHBOARD — USO DEL FILTRO DE AÑO</t>
  </si>
  <si>
    <t>0 = TODOS</t>
  </si>
  <si>
    <t>Muestra todos los años (2024+2025+2026)</t>
  </si>
  <si>
    <t>2024 / 2025 / 2026</t>
  </si>
  <si>
    <t>Filtra solo el año seleccionado en celda D3</t>
  </si>
  <si>
    <t>Calculado directamente desde columnas J:S (no desde col V)</t>
  </si>
  <si>
    <t>CATÁLOGOS — LISTAS MAESTRAS</t>
  </si>
  <si>
    <t>ETAPA ACTUAL</t>
  </si>
  <si>
    <t>TIPO SGC</t>
  </si>
  <si>
    <t>ESTADO ENTREGABLE</t>
  </si>
  <si>
    <t>AMPLIACIÓN CD FF&amp;VV CENCOSUD</t>
  </si>
  <si>
    <t>AUDITORÍA HAYDUK</t>
  </si>
  <si>
    <t>SODIMAC SAN MIGUEL</t>
  </si>
  <si>
    <t>ASCENSOR BCP HUANCAYO</t>
  </si>
  <si>
    <t>OBRAS INTERBANK</t>
  </si>
  <si>
    <t>ING, LIC, SUP</t>
  </si>
  <si>
    <t>Inicio 08-06</t>
  </si>
  <si>
    <t>Los reportes de avance de obra se cargan en un carpeta compartida con el cliente.
Servidor: pendiente verificar entregables: actas de recepción definitiva, planos redes sanitarias, otros</t>
  </si>
  <si>
    <t>ARD: Cliente realizó la recepción.</t>
  </si>
  <si>
    <t>Supervisión nocturna.</t>
  </si>
  <si>
    <t>Solo supervisión IISS, solo visitas.</t>
  </si>
  <si>
    <t>ALERTA</t>
  </si>
  <si>
    <t>Raúl Ávalos</t>
  </si>
  <si>
    <t>Lorelay Dextre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</si>
</sst>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8"/>
      <color rgb="FFFFFFFF"/>
      <name val="Arial"/>
      <family val="2"/>
    </font>
    <font>
      <b/>
      <sz val="8"/>
      <color rgb="FFFFFFFF"/>
      <name val="Arial"/>
      <family val="2"/>
    </font>
    <font>
      <sz val="7"/>
      <color rgb="FFAAAAAA"/>
      <name val="Arial"/>
      <family val="2"/>
    </font>
    <font>
      <sz val="9"/>
      <color rgb="FF555555"/>
      <name val="Arial"/>
      <family val="2"/>
    </font>
    <font>
      <b/>
      <sz val="9"/>
      <color rgb="FF17375E"/>
      <name val="Arial"/>
      <family val="2"/>
    </font>
    <font>
      <b/>
      <sz val="9"/>
      <color rgb="FF366092"/>
      <name val="Arial"/>
      <family val="2"/>
    </font>
    <font>
      <sz val="9"/>
      <color rgb="FF333333"/>
      <name val="Arial"/>
      <family val="2"/>
    </font>
    <font>
      <i/>
      <sz val="8"/>
      <color rgb="FF888888"/>
      <name val="Arial"/>
      <family val="2"/>
    </font>
    <font>
      <sz val="8"/>
      <color rgb="FF595959"/>
      <name val="Arial"/>
      <family val="2"/>
    </font>
    <font>
      <sz val="8"/>
      <color rgb="FFCCCCCC"/>
      <name val="Arial"/>
      <family val="2"/>
    </font>
    <font>
      <i/>
      <sz val="8"/>
      <color rgb="FF555555"/>
      <name val="Arial"/>
      <family val="2"/>
    </font>
    <font>
      <b/>
      <sz val="8"/>
      <color rgb="FF333333"/>
      <name val="Arial"/>
      <family val="2"/>
    </font>
    <font>
      <sz val="8"/>
      <color rgb="FF888888"/>
      <name val="Arial"/>
      <family val="2"/>
    </font>
    <font>
      <sz val="8"/>
      <color rgb="FFAAAAAA"/>
      <name val="Arial"/>
      <family val="2"/>
    </font>
    <font>
      <sz val="8"/>
      <color rgb="FF7D5800"/>
      <name val="Arial"/>
      <family val="2"/>
    </font>
    <font>
      <sz val="8"/>
      <color rgb="FF1F4E7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8"/>
      <color rgb="FF999999"/>
      <name val="Arial"/>
      <family val="2"/>
    </font>
    <font>
      <i/>
      <sz val="8"/>
      <color rgb="FF777777"/>
      <name val="Arial"/>
      <family val="2"/>
    </font>
    <font>
      <b/>
      <sz val="10"/>
      <color rgb="FFFFFFFF"/>
      <name val="Arial"/>
      <family val="2"/>
    </font>
    <font>
      <b/>
      <sz val="22"/>
      <color rgb="FF17375E"/>
      <name val="Arial"/>
      <family val="2"/>
    </font>
    <font>
      <b/>
      <sz val="22"/>
      <color rgb="FF1F4E78"/>
      <name val="Arial"/>
      <family val="2"/>
    </font>
    <font>
      <b/>
      <sz val="22"/>
      <color rgb="FF595959"/>
      <name val="Arial"/>
      <family val="2"/>
    </font>
    <font>
      <b/>
      <sz val="22"/>
      <color rgb="FF843C0C"/>
      <name val="Arial"/>
      <family val="2"/>
    </font>
    <font>
      <b/>
      <sz val="22"/>
      <color rgb="FF7D5800"/>
      <name val="Arial"/>
      <family val="2"/>
    </font>
    <font>
      <b/>
      <sz val="22"/>
      <color rgb="FF375623"/>
      <name val="Arial"/>
      <family val="2"/>
    </font>
    <font>
      <b/>
      <sz val="22"/>
      <color rgb="FFAAAAAA"/>
      <name val="Arial"/>
      <family val="2"/>
    </font>
    <font>
      <b/>
      <sz val="9"/>
      <color rgb="FF375623"/>
      <name val="Arial"/>
      <family val="2"/>
    </font>
    <font>
      <sz val="9"/>
      <color rgb="FF7D5800"/>
      <name val="Arial"/>
      <family val="2"/>
    </font>
    <font>
      <sz val="9"/>
      <color rgb="FF1F4E78"/>
      <name val="Arial"/>
      <family val="2"/>
    </font>
    <font>
      <b/>
      <sz val="9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17375E"/>
      <name val="Arial"/>
      <family val="2"/>
    </font>
    <font>
      <b/>
      <sz val="9"/>
      <color rgb="FF7D5800"/>
      <name val="Arial"/>
      <family val="2"/>
    </font>
    <font>
      <b/>
      <sz val="9"/>
      <color rgb="FF843C0C"/>
      <name val="Arial"/>
      <family val="2"/>
    </font>
    <font>
      <b/>
      <sz val="9"/>
      <color rgb="FF1F4E78"/>
      <name val="Arial"/>
      <family val="2"/>
    </font>
    <font>
      <b/>
      <sz val="9"/>
      <color rgb="FF595959"/>
      <name val="Arial"/>
      <family val="2"/>
    </font>
    <font>
      <b/>
      <sz val="9"/>
      <color rgb="FF888888"/>
      <name val="Arial"/>
      <family val="2"/>
    </font>
    <font>
      <b/>
      <sz val="9"/>
      <color rgb="FFAAAAAA"/>
      <name val="Arial"/>
      <family val="2"/>
    </font>
    <font>
      <b/>
      <sz val="9"/>
      <color rgb="FF7D4200"/>
      <name val="Arial"/>
      <family val="2"/>
    </font>
    <font>
      <b/>
      <sz val="11"/>
      <color rgb="FFFFFFFF"/>
      <name val="Arial"/>
      <family val="2"/>
    </font>
    <font>
      <sz val="9"/>
      <color theme="3" tint="-0.249977111117893"/>
      <name val="Arial"/>
      <family val="2"/>
    </font>
    <font>
      <sz val="8"/>
      <color theme="3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7375E"/>
        <bgColor rgb="FF1F4E78"/>
      </patternFill>
    </fill>
    <fill>
      <patternFill patternType="solid">
        <fgColor rgb="FF366092"/>
        <bgColor rgb="FF1F4E78"/>
      </patternFill>
    </fill>
    <fill>
      <patternFill patternType="solid">
        <fgColor rgb="FFF2F2F2"/>
        <bgColor rgb="FFEBF2FA"/>
      </patternFill>
    </fill>
    <fill>
      <patternFill patternType="solid">
        <fgColor rgb="FF00B050"/>
        <bgColor rgb="FF008080"/>
      </patternFill>
    </fill>
    <fill>
      <patternFill patternType="solid">
        <fgColor rgb="FFD9D9D9"/>
        <bgColor rgb="FFDCE6F1"/>
      </patternFill>
    </fill>
    <fill>
      <patternFill patternType="solid">
        <fgColor rgb="FFFFFFFF"/>
        <bgColor rgb="FFFAFAFA"/>
      </patternFill>
    </fill>
    <fill>
      <patternFill patternType="solid">
        <fgColor rgb="FFFF0000"/>
        <bgColor rgb="FF800000"/>
      </patternFill>
    </fill>
    <fill>
      <patternFill patternType="solid">
        <fgColor rgb="FFBDD7EE"/>
        <bgColor rgb="FFCCCCCC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C000"/>
        <bgColor rgb="FFFFEB9C"/>
      </patternFill>
    </fill>
    <fill>
      <patternFill patternType="solid">
        <fgColor rgb="FFDDEEFF"/>
        <bgColor rgb="FFDCE6F1"/>
      </patternFill>
    </fill>
    <fill>
      <patternFill patternType="solid">
        <fgColor rgb="FFEBF5FB"/>
        <bgColor rgb="FFEBF2FA"/>
      </patternFill>
    </fill>
    <fill>
      <patternFill patternType="solid">
        <fgColor rgb="FFF5F9FF"/>
        <bgColor rgb="FFFAFAFA"/>
      </patternFill>
    </fill>
    <fill>
      <patternFill patternType="solid">
        <fgColor rgb="FFC6EFCE"/>
        <bgColor rgb="FFE2EFDA"/>
      </patternFill>
    </fill>
    <fill>
      <patternFill patternType="solid">
        <fgColor rgb="FFEBF2FA"/>
        <bgColor rgb="FFEBF5FB"/>
      </patternFill>
    </fill>
    <fill>
      <patternFill patternType="solid">
        <fgColor rgb="FFFAFAFA"/>
        <bgColor rgb="FFF5F9FF"/>
      </patternFill>
    </fill>
    <fill>
      <patternFill patternType="solid">
        <fgColor rgb="FFDCE6F1"/>
        <bgColor rgb="FFDDEEFF"/>
      </patternFill>
    </fill>
    <fill>
      <patternFill patternType="solid">
        <fgColor rgb="FFFFFFCC"/>
        <bgColor rgb="FFEBF2FA"/>
      </patternFill>
    </fill>
    <fill>
      <patternFill patternType="solid">
        <fgColor rgb="FFFFFFCC"/>
        <bgColor rgb="FFFAFAFA"/>
      </patternFill>
    </fill>
    <fill>
      <patternFill patternType="solid">
        <fgColor rgb="FFFFFF00"/>
        <bgColor rgb="FFFAFAF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7375E"/>
      </left>
      <right style="medium">
        <color rgb="FF17375E"/>
      </right>
      <top style="medium">
        <color rgb="FF17375E"/>
      </top>
      <bottom style="medium">
        <color rgb="FF17375E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/>
    <xf numFmtId="0" fontId="3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9" fontId="6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9" fontId="6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" fontId="19" fillId="2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23" fillId="14" borderId="1" xfId="0" applyNumberFormat="1" applyFont="1" applyFill="1" applyBorder="1" applyAlignment="1">
      <alignment horizontal="center" vertical="center"/>
    </xf>
    <xf numFmtId="1" fontId="24" fillId="14" borderId="1" xfId="0" applyNumberFormat="1" applyFont="1" applyFill="1" applyBorder="1" applyAlignment="1">
      <alignment horizontal="center" vertical="center"/>
    </xf>
    <xf numFmtId="1" fontId="25" fillId="12" borderId="1" xfId="0" applyNumberFormat="1" applyFont="1" applyFill="1" applyBorder="1" applyAlignment="1">
      <alignment horizontal="center" vertical="center"/>
    </xf>
    <xf numFmtId="1" fontId="26" fillId="11" borderId="1" xfId="0" applyNumberFormat="1" applyFont="1" applyFill="1" applyBorder="1" applyAlignment="1">
      <alignment horizontal="center" vertical="center"/>
    </xf>
    <xf numFmtId="1" fontId="27" fillId="10" borderId="1" xfId="0" applyNumberFormat="1" applyFont="1" applyFill="1" applyBorder="1" applyAlignment="1">
      <alignment horizontal="center" vertical="center"/>
    </xf>
    <xf numFmtId="9" fontId="23" fillId="15" borderId="1" xfId="0" applyNumberFormat="1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1" fontId="28" fillId="17" borderId="1" xfId="0" applyNumberFormat="1" applyFont="1" applyFill="1" applyBorder="1" applyAlignment="1">
      <alignment horizontal="center" vertical="center"/>
    </xf>
    <xf numFmtId="1" fontId="29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30" fillId="17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9" fontId="35" fillId="1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32" fillId="14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9" fontId="6" fillId="18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/>
    </xf>
    <xf numFmtId="0" fontId="38" fillId="9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2" fillId="13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44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 wrapText="1"/>
    </xf>
    <xf numFmtId="0" fontId="44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left" vertical="center" wrapText="1"/>
    </xf>
    <xf numFmtId="0" fontId="45" fillId="0" borderId="1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 wrapText="1"/>
    </xf>
    <xf numFmtId="16" fontId="5" fillId="4" borderId="1" xfId="0" applyNumberFormat="1" applyFont="1" applyFill="1" applyBorder="1" applyAlignment="1">
      <alignment horizontal="center" vertical="center"/>
    </xf>
    <xf numFmtId="16" fontId="5" fillId="7" borderId="1" xfId="0" applyNumberFormat="1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left" vertical="center" wrapText="1"/>
    </xf>
    <xf numFmtId="0" fontId="44" fillId="22" borderId="1" xfId="0" applyFont="1" applyFill="1" applyBorder="1" applyAlignment="1">
      <alignment horizontal="center" vertical="center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19" fillId="2" borderId="0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left" vertical="center"/>
    </xf>
    <xf numFmtId="0" fontId="4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sz val="9"/>
        <color rgb="FF7D5800"/>
        <name val="Arial"/>
        <charset val="1"/>
      </font>
      <fill>
        <patternFill>
          <bgColor rgb="FFFFEB9C"/>
        </patternFill>
      </fill>
    </dxf>
    <dxf>
      <font>
        <b/>
        <sz val="9"/>
        <color rgb="FF375623"/>
        <name val="Arial"/>
        <charset val="1"/>
      </font>
      <fill>
        <patternFill>
          <bgColor rgb="FFC6EFCE"/>
        </patternFill>
      </fill>
    </dxf>
    <dxf>
      <font>
        <b/>
        <sz val="8"/>
        <color rgb="FFFFFFFF"/>
        <name val="Arial"/>
        <charset val="1"/>
      </font>
      <fill>
        <patternFill>
          <bgColor rgb="FFFF0000"/>
        </patternFill>
      </fill>
    </dxf>
    <dxf>
      <font>
        <b/>
        <sz val="8"/>
        <color rgb="FF7D4200"/>
        <name val="Arial"/>
        <charset val="1"/>
      </font>
      <fill>
        <patternFill>
          <bgColor rgb="FFFFC000"/>
        </patternFill>
      </fill>
    </dxf>
    <dxf>
      <font>
        <b/>
        <sz val="8"/>
        <color rgb="FFFFFFFF"/>
        <name val="Arial"/>
        <charset val="1"/>
      </font>
      <fill>
        <patternFill>
          <bgColor rgb="FF00B050"/>
        </patternFill>
      </fill>
    </dxf>
    <dxf>
      <font>
        <b/>
        <sz val="10"/>
        <color rgb="FF843C0C"/>
        <name val="Arial"/>
        <charset val="1"/>
      </font>
      <fill>
        <patternFill>
          <bgColor rgb="FFFCE4D6"/>
        </patternFill>
      </fill>
    </dxf>
    <dxf>
      <font>
        <b/>
        <sz val="10"/>
        <color rgb="FF7D5800"/>
        <name val="Arial"/>
        <charset val="1"/>
      </font>
      <fill>
        <patternFill>
          <bgColor rgb="FFFFEB9C"/>
        </patternFill>
      </fill>
    </dxf>
    <dxf>
      <font>
        <b/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8"/>
        <color rgb="FF888888"/>
        <name val="Arial"/>
        <charset val="1"/>
      </font>
      <fill>
        <patternFill>
          <bgColor rgb="FFEDEDED"/>
        </patternFill>
      </fill>
    </dxf>
    <dxf>
      <font>
        <sz val="8"/>
        <color rgb="FF595959"/>
        <name val="Arial"/>
        <charset val="1"/>
      </font>
      <fill>
        <patternFill>
          <bgColor rgb="FFD9D9D9"/>
        </patternFill>
      </fill>
    </dxf>
    <dxf>
      <font>
        <b/>
        <sz val="8"/>
        <color rgb="FFFFFFFF"/>
        <name val="Arial"/>
        <charset val="1"/>
      </font>
      <fill>
        <patternFill>
          <bgColor rgb="FFFF0000"/>
        </patternFill>
      </fill>
    </dxf>
    <dxf>
      <font>
        <sz val="8"/>
        <color rgb="FF1F4E78"/>
        <name val="Arial"/>
        <charset val="1"/>
      </font>
      <fill>
        <patternFill>
          <bgColor rgb="FFBDD7EE"/>
        </patternFill>
      </fill>
    </dxf>
    <dxf>
      <font>
        <sz val="8"/>
        <color rgb="FF7D5800"/>
        <name val="Arial"/>
        <charset val="1"/>
      </font>
      <fill>
        <patternFill>
          <bgColor rgb="FFFFEB9C"/>
        </patternFill>
      </fill>
    </dxf>
    <dxf>
      <font>
        <b/>
        <sz val="8"/>
        <color rgb="FFFFFFFF"/>
        <name val="Arial"/>
        <charset val="1"/>
      </font>
      <fill>
        <patternFill>
          <bgColor rgb="FF00B050"/>
        </patternFill>
      </fill>
    </dxf>
    <dxf>
      <font>
        <b/>
        <sz val="8"/>
        <color rgb="FFAAAAAA"/>
        <name val="Arial"/>
        <charset val="1"/>
      </font>
      <fill>
        <patternFill>
          <bgColor rgb="FFF2F2F2"/>
        </patternFill>
      </fill>
    </dxf>
    <dxf>
      <font>
        <b/>
        <sz val="8"/>
        <color rgb="FF7D4200"/>
        <name val="Arial"/>
        <charset val="1"/>
      </font>
      <fill>
        <patternFill>
          <bgColor rgb="FFFFC000"/>
        </patternFill>
      </fill>
    </dxf>
    <dxf>
      <font>
        <b/>
        <sz val="8"/>
        <color rgb="FF888888"/>
        <name val="Arial"/>
        <charset val="1"/>
      </font>
      <fill>
        <patternFill>
          <bgColor rgb="FFEDEDED"/>
        </patternFill>
      </fill>
    </dxf>
    <dxf>
      <font>
        <b/>
        <sz val="8"/>
        <color rgb="FFFFFFFF"/>
        <name val="Arial"/>
        <charset val="1"/>
      </font>
      <fill>
        <patternFill>
          <bgColor rgb="FFFF0000"/>
        </patternFill>
      </fill>
    </dxf>
    <dxf>
      <font>
        <b/>
        <sz val="8"/>
        <color rgb="FFFFFFFF"/>
        <name val="Arial"/>
        <charset val="1"/>
      </font>
      <fill>
        <patternFill>
          <bgColor rgb="FFFF0000"/>
        </patternFill>
      </fill>
    </dxf>
    <dxf>
      <font>
        <b/>
        <sz val="8"/>
        <color rgb="FF7D4200"/>
        <name val="Arial"/>
        <charset val="1"/>
      </font>
      <fill>
        <patternFill>
          <bgColor rgb="FFFFC000"/>
        </patternFill>
      </fill>
    </dxf>
    <dxf>
      <font>
        <b/>
        <sz val="8"/>
        <color rgb="FFFFFFFF"/>
        <name val="Arial"/>
        <charset val="1"/>
      </font>
      <fill>
        <patternFill>
          <bgColor rgb="FF00B050"/>
        </patternFill>
      </fill>
    </dxf>
    <dxf>
      <font>
        <b/>
        <sz val="8"/>
        <color rgb="FF7D4200"/>
        <name val="Arial"/>
        <charset val="1"/>
      </font>
      <fill>
        <patternFill>
          <bgColor rgb="FFFFC000"/>
        </patternFill>
      </fill>
    </dxf>
    <dxf>
      <font>
        <b/>
        <sz val="8"/>
        <color rgb="FF888888"/>
        <name val="Arial"/>
        <charset val="1"/>
      </font>
      <fill>
        <patternFill>
          <bgColor rgb="FFEDEDED"/>
        </patternFill>
      </fill>
    </dxf>
    <dxf>
      <font>
        <b/>
        <sz val="8"/>
        <color rgb="FFFFFFFF"/>
        <name val="Arial"/>
        <charset val="1"/>
      </font>
      <fill>
        <patternFill>
          <bgColor rgb="FFFF0000"/>
        </patternFill>
      </fill>
    </dxf>
    <dxf>
      <font>
        <b/>
        <sz val="8"/>
        <color rgb="FF595959"/>
        <name val="Arial"/>
        <charset val="1"/>
      </font>
      <fill>
        <patternFill>
          <bgColor rgb="FFD9D9D9"/>
        </patternFill>
      </fill>
    </dxf>
    <dxf>
      <font>
        <b/>
        <sz val="8"/>
        <color rgb="FFFFFFFF"/>
        <name val="Arial"/>
        <charset val="1"/>
      </font>
      <fill>
        <patternFill>
          <bgColor rgb="FFFF0000"/>
        </patternFill>
      </fill>
    </dxf>
    <dxf>
      <font>
        <b/>
        <sz val="8"/>
        <color rgb="FF7D4200"/>
        <name val="Arial"/>
        <charset val="1"/>
      </font>
      <fill>
        <patternFill>
          <bgColor rgb="FFFFC000"/>
        </patternFill>
      </fill>
    </dxf>
    <dxf>
      <font>
        <b/>
        <sz val="8"/>
        <color rgb="FFFFFFFF"/>
        <name val="Arial"/>
        <charset val="1"/>
      </font>
      <fill>
        <patternFill>
          <bgColor rgb="FF00B05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sz val="9"/>
        <color rgb="FF7D5800"/>
        <name val="Arial"/>
        <charset val="1"/>
      </font>
      <fill>
        <patternFill>
          <bgColor rgb="FFFFEB9C"/>
        </patternFill>
      </fill>
    </dxf>
    <dxf>
      <font>
        <b/>
        <sz val="9"/>
        <color rgb="FF375623"/>
        <name val="Arial"/>
        <charset val="1"/>
      </font>
      <fill>
        <patternFill>
          <bgColor rgb="FFC6EFCE"/>
        </patternFill>
      </fill>
    </dxf>
    <dxf>
      <font>
        <sz val="8"/>
        <color rgb="FF888888"/>
        <name val="Arial"/>
        <charset val="1"/>
      </font>
      <fill>
        <patternFill>
          <bgColor rgb="FFEDEDED"/>
        </patternFill>
      </fill>
    </dxf>
    <dxf>
      <font>
        <sz val="8"/>
        <color rgb="FF595959"/>
        <name val="Arial"/>
        <charset val="1"/>
      </font>
      <fill>
        <patternFill>
          <bgColor rgb="FFD9D9D9"/>
        </patternFill>
      </fill>
    </dxf>
    <dxf>
      <font>
        <b/>
        <sz val="8"/>
        <color rgb="FFFFFFFF"/>
        <name val="Arial"/>
        <charset val="1"/>
      </font>
      <fill>
        <patternFill>
          <bgColor rgb="FFFF0000"/>
        </patternFill>
      </fill>
    </dxf>
    <dxf>
      <font>
        <sz val="8"/>
        <color rgb="FF1F4E78"/>
        <name val="Arial"/>
        <charset val="1"/>
      </font>
      <fill>
        <patternFill>
          <bgColor rgb="FFBDD7EE"/>
        </patternFill>
      </fill>
    </dxf>
    <dxf>
      <font>
        <sz val="8"/>
        <color rgb="FF7D5800"/>
        <name val="Arial"/>
        <charset val="1"/>
      </font>
      <fill>
        <patternFill>
          <bgColor rgb="FFFFEB9C"/>
        </patternFill>
      </fill>
    </dxf>
    <dxf>
      <font>
        <b/>
        <sz val="8"/>
        <color rgb="FFFFFFFF"/>
        <name val="Arial"/>
        <charset val="1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800000"/>
      <rgbColor rgb="FF008000"/>
      <rgbColor rgb="FF000080"/>
      <rgbColor rgb="FF7D5800"/>
      <rgbColor rgb="FF800080"/>
      <rgbColor rgb="FF555555"/>
      <rgbColor rgb="FFBFBFBF"/>
      <rgbColor rgb="FF888888"/>
      <rgbColor rgb="FFAAAAAA"/>
      <rgbColor rgb="FF7D4200"/>
      <rgbColor rgb="FFFAFAFA"/>
      <rgbColor rgb="FFDDEEFF"/>
      <rgbColor rgb="FF4B0082"/>
      <rgbColor rgb="FFDCE6F1"/>
      <rgbColor rgb="FF366092"/>
      <rgbColor rgb="FFBDD7EE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EBF5FB"/>
      <rgbColor rgb="FFC6EFCE"/>
      <rgbColor rgb="FFFFEB9C"/>
      <rgbColor rgb="FFCCCCCC"/>
      <rgbColor rgb="FFEEE8F7"/>
      <rgbColor rgb="FFD9D9D9"/>
      <rgbColor rgb="FFFCE4D6"/>
      <rgbColor rgb="FF3366FF"/>
      <rgbColor rgb="FFEBF2FA"/>
      <rgbColor rgb="FFF2F2F2"/>
      <rgbColor rgb="FFFFC000"/>
      <rgbColor rgb="FFF5F9FF"/>
      <rgbColor rgb="FFFF6600"/>
      <rgbColor rgb="FF777777"/>
      <rgbColor rgb="FF999999"/>
      <rgbColor rgb="FF17375E"/>
      <rgbColor rgb="FF00B050"/>
      <rgbColor rgb="FF003300"/>
      <rgbColor rgb="FF375623"/>
      <rgbColor rgb="FF843C0C"/>
      <rgbColor rgb="FF595959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5"/>
  <sheetViews>
    <sheetView showGridLines="0" tabSelected="1" zoomScale="55" zoomScaleNormal="5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61" sqref="H161"/>
    </sheetView>
  </sheetViews>
  <sheetFormatPr baseColWidth="10" defaultColWidth="8.6328125" defaultRowHeight="14.5" x14ac:dyDescent="0.35"/>
  <cols>
    <col min="1" max="1" width="7" style="1" customWidth="1"/>
    <col min="2" max="2" width="11" style="1" customWidth="1"/>
    <col min="3" max="3" width="42" style="1" customWidth="1"/>
    <col min="4" max="4" width="6" style="1" customWidth="1"/>
    <col min="5" max="5" width="18" style="1" customWidth="1"/>
    <col min="6" max="6" width="12" style="1" customWidth="1"/>
    <col min="7" max="7" width="13" style="1" customWidth="1"/>
    <col min="8" max="8" width="15" style="1" customWidth="1"/>
    <col min="9" max="9" width="20" style="1" customWidth="1"/>
    <col min="10" max="10" width="9" style="1" customWidth="1"/>
    <col min="11" max="15" width="11" style="1" customWidth="1"/>
    <col min="16" max="16" width="9" style="1" customWidth="1"/>
    <col min="17" max="17" width="10" style="1" customWidth="1"/>
    <col min="18" max="18" width="13" style="1" customWidth="1"/>
    <col min="19" max="19" width="12" style="1" customWidth="1"/>
    <col min="20" max="20" width="38" style="1" customWidth="1"/>
    <col min="21" max="21" width="13" style="1" customWidth="1"/>
    <col min="22" max="22" width="10" style="1" customWidth="1"/>
    <col min="23" max="23" width="13" style="1" customWidth="1"/>
    <col min="24" max="25" width="6" style="1" hidden="1" customWidth="1"/>
  </cols>
  <sheetData>
    <row r="1" spans="1:25" ht="24" customHeight="1" x14ac:dyDescent="0.35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5" ht="13.5" customHeight="1" x14ac:dyDescent="0.3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5" ht="19.5" customHeight="1" x14ac:dyDescent="0.35">
      <c r="A3" s="89" t="s">
        <v>2</v>
      </c>
      <c r="B3" s="89"/>
      <c r="C3" s="89"/>
      <c r="D3" s="89"/>
      <c r="E3" s="89" t="s">
        <v>3</v>
      </c>
      <c r="F3" s="89"/>
      <c r="G3" s="89"/>
      <c r="H3" s="89" t="s">
        <v>4</v>
      </c>
      <c r="I3" s="89"/>
      <c r="J3" s="89" t="s">
        <v>5</v>
      </c>
      <c r="K3" s="89"/>
      <c r="L3" s="89"/>
      <c r="M3" s="89"/>
      <c r="N3" s="89"/>
      <c r="O3" s="89"/>
      <c r="P3" s="89"/>
      <c r="Q3" s="89"/>
      <c r="R3" s="89"/>
      <c r="S3" s="89"/>
      <c r="T3" s="2" t="s">
        <v>6</v>
      </c>
      <c r="U3" s="2" t="s">
        <v>7</v>
      </c>
      <c r="V3" s="2" t="s">
        <v>8</v>
      </c>
      <c r="W3" s="2" t="s">
        <v>9</v>
      </c>
    </row>
    <row r="4" spans="1:25" ht="37.5" customHeight="1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3" t="s">
        <v>26</v>
      </c>
      <c r="R4" s="3" t="s">
        <v>27</v>
      </c>
      <c r="S4" s="3" t="s">
        <v>28</v>
      </c>
      <c r="T4" s="3" t="s">
        <v>6</v>
      </c>
      <c r="U4" s="3" t="s">
        <v>7</v>
      </c>
      <c r="V4" s="3" t="s">
        <v>29</v>
      </c>
      <c r="W4" s="3" t="s">
        <v>30</v>
      </c>
      <c r="X4" s="4" t="s">
        <v>31</v>
      </c>
      <c r="Y4" s="4" t="s">
        <v>32</v>
      </c>
    </row>
    <row r="5" spans="1:25" ht="21.75" customHeight="1" x14ac:dyDescent="0.35">
      <c r="A5" s="5"/>
      <c r="B5" s="6"/>
      <c r="C5" s="7"/>
      <c r="D5" s="8"/>
      <c r="E5" s="9"/>
      <c r="F5" s="77"/>
      <c r="G5" s="10"/>
      <c r="H5" s="11"/>
      <c r="I5" s="12"/>
      <c r="J5" s="13"/>
      <c r="K5" s="14"/>
      <c r="L5" s="78"/>
      <c r="M5" s="13"/>
      <c r="N5" s="13"/>
      <c r="O5" s="13"/>
      <c r="P5" s="79"/>
      <c r="Q5" s="79"/>
      <c r="R5" s="14"/>
      <c r="S5" s="14"/>
      <c r="T5" s="15"/>
      <c r="U5" s="5"/>
      <c r="V5" s="16"/>
      <c r="W5" s="17"/>
      <c r="X5" s="18">
        <f>10-COUNTIF(J5:S5,"NO APLICA")-COUNTIF(J5:S5,"-")-COUNTIF(J5:S5,"")</f>
        <v>0</v>
      </c>
      <c r="Y5" s="18">
        <f>COUNTIF(J5:S5,"OK")+COUNTIF(J5:S5,"EN PROCESO")*0.5</f>
        <v>0</v>
      </c>
    </row>
    <row r="6" spans="1:25" ht="21.75" customHeight="1" x14ac:dyDescent="0.35">
      <c r="A6" s="5">
        <v>2026</v>
      </c>
      <c r="B6" s="73">
        <v>23004</v>
      </c>
      <c r="C6" s="74" t="s">
        <v>685</v>
      </c>
      <c r="D6" s="8" t="s">
        <v>35</v>
      </c>
      <c r="E6" s="9" t="s">
        <v>36</v>
      </c>
      <c r="F6" s="77" t="s">
        <v>64</v>
      </c>
      <c r="G6" s="10"/>
      <c r="H6" s="11" t="s">
        <v>49</v>
      </c>
      <c r="I6" s="12"/>
      <c r="J6" s="13"/>
      <c r="K6" s="14"/>
      <c r="L6" s="78"/>
      <c r="M6" s="13"/>
      <c r="N6" s="13"/>
      <c r="O6" s="13" t="s">
        <v>39</v>
      </c>
      <c r="P6" s="79"/>
      <c r="Q6" s="79" t="s">
        <v>39</v>
      </c>
      <c r="R6" s="14"/>
      <c r="S6" s="14" t="s">
        <v>39</v>
      </c>
      <c r="T6" s="15" t="s">
        <v>687</v>
      </c>
      <c r="U6" s="5"/>
      <c r="V6" s="26" t="str">
        <f>IFERROR((COUNTIF(J6:S6,"OK")+COUNTIF(J6:S6,"EN PROCESO")*0.5)/(10-COUNTIF(J6:S6,"NO APLICA")-COUNTIF(J6:S6,"DESCARTADA")-COUNTIF(J6:S6,"-")-COUNTIF(J6:S6,"")),"")</f>
        <v/>
      </c>
      <c r="W6" s="27" t="str">
        <f>IF(ISNUMBER(V6),IF(V6&gt;=0.9,"CONFORME",IF(V6&gt;=0.5,"ALERTA","CRITICO")),IF(F6="CANCELADO","CANCELADO",IF(F6="STAND BY","STAND BY",IF(F6="DESCARTADO","DESCARTADO","S/D"))))</f>
        <v>S/D</v>
      </c>
      <c r="X6" s="18">
        <f t="shared" ref="X6:X11" si="0">10-COUNTIF(J6:S6,"NO APLICA")-COUNTIF(J6:S6,"-")-COUNTIF(J6:S6,"")</f>
        <v>0</v>
      </c>
      <c r="Y6" s="18">
        <f t="shared" ref="Y6:Y69" si="1">COUNTIF(J6:S6,"OK")+COUNTIF(J6:S6,"EN PROCESO")*0.5</f>
        <v>0</v>
      </c>
    </row>
    <row r="7" spans="1:25" ht="21.75" customHeight="1" x14ac:dyDescent="0.35">
      <c r="A7" s="5">
        <v>2026</v>
      </c>
      <c r="B7" s="73">
        <v>23003</v>
      </c>
      <c r="C7" s="74" t="s">
        <v>684</v>
      </c>
      <c r="D7" s="8" t="s">
        <v>35</v>
      </c>
      <c r="E7" s="9" t="s">
        <v>36</v>
      </c>
      <c r="F7" s="77" t="s">
        <v>36</v>
      </c>
      <c r="G7" s="10">
        <v>46189</v>
      </c>
      <c r="H7" s="11" t="s">
        <v>37</v>
      </c>
      <c r="I7" s="12" t="s">
        <v>159</v>
      </c>
      <c r="J7" s="13" t="s">
        <v>39</v>
      </c>
      <c r="K7" s="14"/>
      <c r="L7" s="78" t="s">
        <v>40</v>
      </c>
      <c r="M7" s="13" t="s">
        <v>39</v>
      </c>
      <c r="N7" s="13" t="s">
        <v>39</v>
      </c>
      <c r="O7" s="13" t="s">
        <v>39</v>
      </c>
      <c r="P7" s="79" t="s">
        <v>41</v>
      </c>
      <c r="Q7" s="79" t="s">
        <v>39</v>
      </c>
      <c r="R7" s="14"/>
      <c r="S7" s="14" t="s">
        <v>39</v>
      </c>
      <c r="T7" s="15"/>
      <c r="U7" s="5"/>
      <c r="V7" s="26">
        <f>IFERROR((COUNTIF(J7:S7,"OK")+COUNTIF(J7:S7,"EN PROCESO")*0.5)/(10-COUNTIF(J7:S7,"NO APLICA")-COUNTIF(J7:S7,"DESCARTADA")-COUNTIF(J7:S7,"-")-COUNTIF(J7:S7,"")),"")</f>
        <v>0.5</v>
      </c>
      <c r="W7" s="27" t="str">
        <f>IF(ISNUMBER(V7),IF(V7&gt;=0.9,"CONFORME",IF(V7&gt;=0.5,"ALERTA","CRITICO")),IF(F7="CANCELADO","CANCELADO",IF(F7="STAND BY","STAND BY",IF(F7="DESCARTADO","DESCARTADO","S/D"))))</f>
        <v>ALERTA</v>
      </c>
      <c r="X7" s="18">
        <f t="shared" si="0"/>
        <v>2</v>
      </c>
      <c r="Y7" s="18">
        <f t="shared" si="1"/>
        <v>1</v>
      </c>
    </row>
    <row r="8" spans="1:25" ht="21.75" customHeight="1" x14ac:dyDescent="0.35">
      <c r="A8" s="5">
        <v>2026</v>
      </c>
      <c r="B8" s="82">
        <v>23002</v>
      </c>
      <c r="C8" s="83" t="s">
        <v>683</v>
      </c>
      <c r="D8" s="8" t="s">
        <v>35</v>
      </c>
      <c r="E8" s="9" t="s">
        <v>36</v>
      </c>
      <c r="F8" s="77" t="s">
        <v>36</v>
      </c>
      <c r="G8" s="10">
        <v>46203</v>
      </c>
      <c r="H8" s="11" t="s">
        <v>49</v>
      </c>
      <c r="I8" s="12"/>
      <c r="J8" s="13" t="s">
        <v>39</v>
      </c>
      <c r="K8" s="14" t="s">
        <v>39</v>
      </c>
      <c r="L8" s="78"/>
      <c r="M8" s="13" t="s">
        <v>39</v>
      </c>
      <c r="N8" s="13" t="s">
        <v>39</v>
      </c>
      <c r="O8" s="13" t="s">
        <v>39</v>
      </c>
      <c r="P8" s="79" t="s">
        <v>39</v>
      </c>
      <c r="Q8" s="79" t="s">
        <v>39</v>
      </c>
      <c r="R8" s="14"/>
      <c r="S8" s="14" t="s">
        <v>39</v>
      </c>
      <c r="T8" s="15"/>
      <c r="U8" s="5"/>
      <c r="V8" s="26" t="str">
        <f t="shared" ref="V8:V71" si="2">IFERROR((COUNTIF(J8:S8,"OK")+COUNTIF(J8:S8,"EN PROCESO")*0.5)/(10-COUNTIF(J8:S8,"NO APLICA")-COUNTIF(J8:S8,"DESCARTADA")-COUNTIF(J8:S8,"-")-COUNTIF(J8:S8,"")),"")</f>
        <v/>
      </c>
      <c r="W8" s="27" t="str">
        <f t="shared" ref="W8:W71" si="3">IF(ISNUMBER(V8),IF(V8&gt;=0.9,"CONFORME",IF(V8&gt;=0.5,"ALERTA","CRITICO")),IF(F8="CANCELADO","CANCELADO",IF(F8="STAND BY","STAND BY",IF(F8="DESCARTADO","DESCARTADO","S/D"))))</f>
        <v>S/D</v>
      </c>
      <c r="X8" s="18">
        <f t="shared" si="0"/>
        <v>0</v>
      </c>
      <c r="Y8" s="18">
        <f t="shared" si="1"/>
        <v>0</v>
      </c>
    </row>
    <row r="9" spans="1:25" ht="21.75" customHeight="1" x14ac:dyDescent="0.35">
      <c r="A9" s="5">
        <v>2026</v>
      </c>
      <c r="B9" s="73">
        <v>23001</v>
      </c>
      <c r="C9" s="74" t="s">
        <v>682</v>
      </c>
      <c r="D9" s="8" t="s">
        <v>35</v>
      </c>
      <c r="E9" s="9" t="s">
        <v>53</v>
      </c>
      <c r="F9" s="77" t="s">
        <v>64</v>
      </c>
      <c r="G9" s="10"/>
      <c r="H9" s="11" t="s">
        <v>137</v>
      </c>
      <c r="I9" s="12"/>
      <c r="J9" s="13" t="s">
        <v>39</v>
      </c>
      <c r="K9" s="14"/>
      <c r="L9" s="78"/>
      <c r="M9" s="13"/>
      <c r="N9" s="13"/>
      <c r="O9" s="13" t="s">
        <v>39</v>
      </c>
      <c r="P9" s="79"/>
      <c r="Q9" s="79" t="s">
        <v>39</v>
      </c>
      <c r="R9" s="14"/>
      <c r="S9" s="14"/>
      <c r="T9" s="15"/>
      <c r="U9" s="5"/>
      <c r="V9" s="26" t="str">
        <f t="shared" si="2"/>
        <v/>
      </c>
      <c r="W9" s="27" t="str">
        <f t="shared" si="3"/>
        <v>S/D</v>
      </c>
      <c r="X9" s="18">
        <f t="shared" si="0"/>
        <v>0</v>
      </c>
      <c r="Y9" s="18">
        <f t="shared" si="1"/>
        <v>0</v>
      </c>
    </row>
    <row r="10" spans="1:25" ht="21.75" customHeight="1" x14ac:dyDescent="0.35">
      <c r="A10" s="5">
        <v>2026</v>
      </c>
      <c r="B10" s="73">
        <v>23000</v>
      </c>
      <c r="C10" s="74" t="s">
        <v>681</v>
      </c>
      <c r="D10" s="8" t="s">
        <v>86</v>
      </c>
      <c r="E10" s="9" t="s">
        <v>686</v>
      </c>
      <c r="F10" s="77" t="s">
        <v>44</v>
      </c>
      <c r="G10" s="10"/>
      <c r="H10" s="11" t="s">
        <v>45</v>
      </c>
      <c r="I10" s="12"/>
      <c r="J10" s="13" t="s">
        <v>40</v>
      </c>
      <c r="K10" s="14"/>
      <c r="L10" s="78"/>
      <c r="M10" s="13"/>
      <c r="N10" s="13"/>
      <c r="O10" s="13"/>
      <c r="P10" s="79"/>
      <c r="Q10" s="79"/>
      <c r="R10" s="14"/>
      <c r="S10" s="14"/>
      <c r="T10" s="15"/>
      <c r="U10" s="5"/>
      <c r="V10" s="26">
        <f t="shared" si="2"/>
        <v>0</v>
      </c>
      <c r="W10" s="27" t="str">
        <f t="shared" si="3"/>
        <v>CRITICO</v>
      </c>
      <c r="X10" s="18">
        <f t="shared" si="0"/>
        <v>1</v>
      </c>
      <c r="Y10" s="18">
        <f t="shared" si="1"/>
        <v>0</v>
      </c>
    </row>
    <row r="11" spans="1:25" ht="21.75" customHeight="1" x14ac:dyDescent="0.35">
      <c r="A11" s="5">
        <v>2026</v>
      </c>
      <c r="B11" s="73" t="s">
        <v>33</v>
      </c>
      <c r="C11" s="74" t="s">
        <v>34</v>
      </c>
      <c r="D11" s="8" t="s">
        <v>35</v>
      </c>
      <c r="E11" s="9" t="s">
        <v>36</v>
      </c>
      <c r="F11" s="77" t="s">
        <v>36</v>
      </c>
      <c r="G11" s="10">
        <v>46193</v>
      </c>
      <c r="H11" s="11" t="s">
        <v>37</v>
      </c>
      <c r="I11" s="12" t="s">
        <v>38</v>
      </c>
      <c r="J11" s="13" t="s">
        <v>39</v>
      </c>
      <c r="K11" s="14"/>
      <c r="L11" s="78" t="s">
        <v>40</v>
      </c>
      <c r="M11" s="13" t="s">
        <v>39</v>
      </c>
      <c r="N11" s="13" t="s">
        <v>39</v>
      </c>
      <c r="O11" s="13" t="s">
        <v>39</v>
      </c>
      <c r="P11" s="79" t="s">
        <v>41</v>
      </c>
      <c r="Q11" s="79" t="s">
        <v>41</v>
      </c>
      <c r="R11" s="14"/>
      <c r="S11" s="14" t="s">
        <v>39</v>
      </c>
      <c r="T11" s="15"/>
      <c r="U11" s="5"/>
      <c r="V11" s="26">
        <f t="shared" si="2"/>
        <v>0.66666666666666663</v>
      </c>
      <c r="W11" s="27" t="str">
        <f t="shared" si="3"/>
        <v>ALERTA</v>
      </c>
      <c r="X11" s="18">
        <f t="shared" si="0"/>
        <v>3</v>
      </c>
      <c r="Y11" s="18">
        <f t="shared" si="1"/>
        <v>2</v>
      </c>
    </row>
    <row r="12" spans="1:25" ht="21.75" customHeight="1" x14ac:dyDescent="0.35">
      <c r="A12" s="19">
        <v>2026</v>
      </c>
      <c r="B12" s="75" t="s">
        <v>42</v>
      </c>
      <c r="C12" s="76" t="s">
        <v>43</v>
      </c>
      <c r="D12" s="20" t="s">
        <v>35</v>
      </c>
      <c r="E12" s="21" t="s">
        <v>44</v>
      </c>
      <c r="F12" s="77" t="s">
        <v>44</v>
      </c>
      <c r="G12" s="22">
        <v>46188</v>
      </c>
      <c r="H12" s="23" t="s">
        <v>45</v>
      </c>
      <c r="I12" s="24"/>
      <c r="J12" s="13" t="s">
        <v>39</v>
      </c>
      <c r="K12" s="14"/>
      <c r="L12" s="78" t="s">
        <v>40</v>
      </c>
      <c r="M12" s="78" t="s">
        <v>40</v>
      </c>
      <c r="N12" s="14"/>
      <c r="O12" s="13" t="s">
        <v>39</v>
      </c>
      <c r="P12" s="13" t="s">
        <v>39</v>
      </c>
      <c r="Q12" s="13" t="s">
        <v>39</v>
      </c>
      <c r="R12" s="14"/>
      <c r="S12" s="14" t="s">
        <v>283</v>
      </c>
      <c r="T12" s="25"/>
      <c r="U12" s="19"/>
      <c r="V12" s="26">
        <f t="shared" si="2"/>
        <v>0.16666666666666666</v>
      </c>
      <c r="W12" s="27" t="str">
        <f t="shared" si="3"/>
        <v>CRITICO</v>
      </c>
      <c r="X12" s="18">
        <f t="shared" ref="X12:X43" si="4">10-COUNTIF(J12:S12,"NO APLICA")-COUNTIF(J12:S12,"-")-COUNTIF(J12:S12,"")</f>
        <v>3</v>
      </c>
      <c r="Y12" s="18">
        <f t="shared" si="1"/>
        <v>0.5</v>
      </c>
    </row>
    <row r="13" spans="1:25" ht="21.75" customHeight="1" x14ac:dyDescent="0.35">
      <c r="A13" s="5">
        <v>2026</v>
      </c>
      <c r="B13" s="73" t="s">
        <v>46</v>
      </c>
      <c r="C13" s="74" t="s">
        <v>47</v>
      </c>
      <c r="D13" s="8" t="s">
        <v>48</v>
      </c>
      <c r="E13" s="9" t="s">
        <v>36</v>
      </c>
      <c r="F13" s="77" t="s">
        <v>36</v>
      </c>
      <c r="G13" s="10">
        <v>46260</v>
      </c>
      <c r="H13" s="11" t="s">
        <v>49</v>
      </c>
      <c r="I13" s="12" t="s">
        <v>50</v>
      </c>
      <c r="J13" s="78" t="s">
        <v>40</v>
      </c>
      <c r="K13" s="14"/>
      <c r="L13" s="14" t="s">
        <v>40</v>
      </c>
      <c r="M13" s="13" t="s">
        <v>39</v>
      </c>
      <c r="N13" s="14"/>
      <c r="O13" s="14"/>
      <c r="P13" s="79" t="s">
        <v>41</v>
      </c>
      <c r="Q13" s="78" t="s">
        <v>40</v>
      </c>
      <c r="R13" s="14"/>
      <c r="S13" s="14" t="s">
        <v>39</v>
      </c>
      <c r="T13" s="15"/>
      <c r="U13" s="5"/>
      <c r="V13" s="26">
        <f t="shared" si="2"/>
        <v>0.25</v>
      </c>
      <c r="W13" s="27" t="str">
        <f t="shared" si="3"/>
        <v>CRITICO</v>
      </c>
      <c r="X13" s="18">
        <f t="shared" si="4"/>
        <v>4</v>
      </c>
      <c r="Y13" s="18">
        <f t="shared" si="1"/>
        <v>1</v>
      </c>
    </row>
    <row r="14" spans="1:25" ht="21.75" customHeight="1" x14ac:dyDescent="0.35">
      <c r="A14" s="19">
        <v>2026</v>
      </c>
      <c r="B14" s="75" t="s">
        <v>51</v>
      </c>
      <c r="C14" s="76" t="s">
        <v>52</v>
      </c>
      <c r="D14" s="20" t="s">
        <v>35</v>
      </c>
      <c r="E14" s="21" t="s">
        <v>53</v>
      </c>
      <c r="F14" s="77" t="s">
        <v>53</v>
      </c>
      <c r="G14" s="28"/>
      <c r="H14" s="23" t="s">
        <v>37</v>
      </c>
      <c r="I14" s="24"/>
      <c r="J14" s="13" t="s">
        <v>39</v>
      </c>
      <c r="K14" s="14"/>
      <c r="L14" s="78" t="s">
        <v>40</v>
      </c>
      <c r="M14" s="78" t="s">
        <v>40</v>
      </c>
      <c r="N14" s="14"/>
      <c r="O14" s="13" t="s">
        <v>39</v>
      </c>
      <c r="P14" s="13" t="s">
        <v>39</v>
      </c>
      <c r="Q14" s="13" t="s">
        <v>39</v>
      </c>
      <c r="R14" s="14"/>
      <c r="S14" s="14"/>
      <c r="T14" s="25" t="s">
        <v>54</v>
      </c>
      <c r="U14" s="19"/>
      <c r="V14" s="26">
        <f t="shared" si="2"/>
        <v>0</v>
      </c>
      <c r="W14" s="27" t="str">
        <f t="shared" si="3"/>
        <v>CRITICO</v>
      </c>
      <c r="X14" s="18">
        <f t="shared" si="4"/>
        <v>2</v>
      </c>
      <c r="Y14" s="18">
        <f t="shared" si="1"/>
        <v>0</v>
      </c>
    </row>
    <row r="15" spans="1:25" ht="21.75" customHeight="1" x14ac:dyDescent="0.35">
      <c r="A15" s="5">
        <v>2026</v>
      </c>
      <c r="B15" s="73" t="s">
        <v>55</v>
      </c>
      <c r="C15" s="74" t="s">
        <v>56</v>
      </c>
      <c r="D15" s="8" t="s">
        <v>35</v>
      </c>
      <c r="E15" s="9" t="s">
        <v>36</v>
      </c>
      <c r="F15" s="77" t="s">
        <v>36</v>
      </c>
      <c r="G15" s="10">
        <v>46753</v>
      </c>
      <c r="H15" s="11" t="s">
        <v>57</v>
      </c>
      <c r="I15" s="12" t="s">
        <v>58</v>
      </c>
      <c r="J15" s="13" t="s">
        <v>39</v>
      </c>
      <c r="K15" s="14"/>
      <c r="L15" s="78" t="s">
        <v>40</v>
      </c>
      <c r="M15" s="13" t="s">
        <v>39</v>
      </c>
      <c r="N15" s="14"/>
      <c r="O15" s="13" t="s">
        <v>39</v>
      </c>
      <c r="P15" s="79" t="s">
        <v>41</v>
      </c>
      <c r="Q15" s="13" t="s">
        <v>39</v>
      </c>
      <c r="R15" s="14"/>
      <c r="S15" s="79" t="s">
        <v>41</v>
      </c>
      <c r="T15" s="15"/>
      <c r="U15" s="5"/>
      <c r="V15" s="26">
        <f t="shared" si="2"/>
        <v>0.66666666666666663</v>
      </c>
      <c r="W15" s="27" t="str">
        <f t="shared" si="3"/>
        <v>ALERTA</v>
      </c>
      <c r="X15" s="18">
        <f t="shared" si="4"/>
        <v>3</v>
      </c>
      <c r="Y15" s="18">
        <f t="shared" si="1"/>
        <v>2</v>
      </c>
    </row>
    <row r="16" spans="1:25" ht="21.75" customHeight="1" x14ac:dyDescent="0.35">
      <c r="A16" s="19">
        <v>2026</v>
      </c>
      <c r="B16" s="84" t="s">
        <v>59</v>
      </c>
      <c r="C16" s="85" t="s">
        <v>60</v>
      </c>
      <c r="D16" s="20" t="s">
        <v>35</v>
      </c>
      <c r="E16" s="21" t="s">
        <v>53</v>
      </c>
      <c r="F16" s="77" t="s">
        <v>53</v>
      </c>
      <c r="G16" s="22">
        <v>46340</v>
      </c>
      <c r="H16" s="23" t="s">
        <v>49</v>
      </c>
      <c r="I16" s="24" t="s">
        <v>61</v>
      </c>
      <c r="J16" s="13" t="s">
        <v>39</v>
      </c>
      <c r="K16" s="14" t="s">
        <v>39</v>
      </c>
      <c r="L16" s="78"/>
      <c r="M16" s="13" t="s">
        <v>39</v>
      </c>
      <c r="N16" s="13" t="s">
        <v>39</v>
      </c>
      <c r="O16" s="13" t="s">
        <v>39</v>
      </c>
      <c r="P16" s="13" t="s">
        <v>39</v>
      </c>
      <c r="Q16" s="13" t="s">
        <v>39</v>
      </c>
      <c r="R16" s="14"/>
      <c r="S16" s="14" t="s">
        <v>39</v>
      </c>
      <c r="T16" s="25"/>
      <c r="U16" s="19"/>
      <c r="V16" s="26" t="str">
        <f t="shared" si="2"/>
        <v/>
      </c>
      <c r="W16" s="27" t="str">
        <f t="shared" si="3"/>
        <v>S/D</v>
      </c>
      <c r="X16" s="18">
        <f t="shared" si="4"/>
        <v>0</v>
      </c>
      <c r="Y16" s="18">
        <f t="shared" si="1"/>
        <v>0</v>
      </c>
    </row>
    <row r="17" spans="1:25" ht="21.75" customHeight="1" x14ac:dyDescent="0.35">
      <c r="A17" s="5">
        <v>2026</v>
      </c>
      <c r="B17" s="73" t="s">
        <v>62</v>
      </c>
      <c r="C17" s="74" t="s">
        <v>63</v>
      </c>
      <c r="D17" s="8" t="s">
        <v>35</v>
      </c>
      <c r="E17" s="9" t="s">
        <v>36</v>
      </c>
      <c r="F17" s="77" t="s">
        <v>64</v>
      </c>
      <c r="G17" s="10">
        <v>46223</v>
      </c>
      <c r="H17" s="11" t="s">
        <v>45</v>
      </c>
      <c r="I17" s="12"/>
      <c r="J17" s="13" t="s">
        <v>39</v>
      </c>
      <c r="K17" s="13" t="s">
        <v>39</v>
      </c>
      <c r="L17" s="14"/>
      <c r="M17" s="13" t="s">
        <v>39</v>
      </c>
      <c r="N17" s="13" t="s">
        <v>39</v>
      </c>
      <c r="O17" s="13" t="s">
        <v>39</v>
      </c>
      <c r="P17" s="14"/>
      <c r="Q17" s="13" t="s">
        <v>39</v>
      </c>
      <c r="R17" s="14"/>
      <c r="S17" s="14"/>
      <c r="T17" s="15" t="s">
        <v>65</v>
      </c>
      <c r="U17" s="5"/>
      <c r="V17" s="26" t="str">
        <f t="shared" si="2"/>
        <v/>
      </c>
      <c r="W17" s="27" t="str">
        <f t="shared" si="3"/>
        <v>S/D</v>
      </c>
      <c r="X17" s="18">
        <f t="shared" si="4"/>
        <v>0</v>
      </c>
      <c r="Y17" s="18">
        <f t="shared" si="1"/>
        <v>0</v>
      </c>
    </row>
    <row r="18" spans="1:25" ht="21.75" customHeight="1" x14ac:dyDescent="0.35">
      <c r="A18" s="19">
        <v>2026</v>
      </c>
      <c r="B18" s="75" t="s">
        <v>66</v>
      </c>
      <c r="C18" s="76" t="s">
        <v>67</v>
      </c>
      <c r="D18" s="20" t="s">
        <v>35</v>
      </c>
      <c r="E18" s="21" t="s">
        <v>36</v>
      </c>
      <c r="F18" s="77" t="s">
        <v>36</v>
      </c>
      <c r="G18" s="22">
        <v>46195</v>
      </c>
      <c r="H18" s="23" t="s">
        <v>49</v>
      </c>
      <c r="I18" s="24" t="s">
        <v>68</v>
      </c>
      <c r="J18" s="13" t="s">
        <v>39</v>
      </c>
      <c r="K18" s="14"/>
      <c r="L18" s="78" t="s">
        <v>40</v>
      </c>
      <c r="M18" s="13" t="s">
        <v>39</v>
      </c>
      <c r="N18" s="13" t="s">
        <v>39</v>
      </c>
      <c r="O18" s="13" t="s">
        <v>39</v>
      </c>
      <c r="P18" s="79" t="s">
        <v>41</v>
      </c>
      <c r="Q18" s="13" t="s">
        <v>39</v>
      </c>
      <c r="R18" s="14"/>
      <c r="S18" s="14" t="s">
        <v>39</v>
      </c>
      <c r="T18" s="25"/>
      <c r="U18" s="19"/>
      <c r="V18" s="26">
        <f t="shared" si="2"/>
        <v>0.5</v>
      </c>
      <c r="W18" s="27" t="str">
        <f t="shared" si="3"/>
        <v>ALERTA</v>
      </c>
      <c r="X18" s="18">
        <f t="shared" si="4"/>
        <v>2</v>
      </c>
      <c r="Y18" s="18">
        <f t="shared" si="1"/>
        <v>1</v>
      </c>
    </row>
    <row r="19" spans="1:25" ht="21.75" customHeight="1" x14ac:dyDescent="0.35">
      <c r="A19" s="5">
        <v>2026</v>
      </c>
      <c r="B19" s="73" t="s">
        <v>69</v>
      </c>
      <c r="C19" s="74" t="s">
        <v>70</v>
      </c>
      <c r="D19" s="8" t="s">
        <v>48</v>
      </c>
      <c r="E19" s="9" t="s">
        <v>36</v>
      </c>
      <c r="F19" s="77" t="s">
        <v>36</v>
      </c>
      <c r="G19" s="10">
        <v>46216</v>
      </c>
      <c r="H19" s="11" t="s">
        <v>37</v>
      </c>
      <c r="I19" s="12" t="s">
        <v>71</v>
      </c>
      <c r="J19" s="78" t="s">
        <v>40</v>
      </c>
      <c r="K19" s="14"/>
      <c r="L19" s="14" t="s">
        <v>40</v>
      </c>
      <c r="M19" s="14" t="s">
        <v>39</v>
      </c>
      <c r="N19" s="14" t="s">
        <v>39</v>
      </c>
      <c r="O19" s="14"/>
      <c r="P19" s="79" t="s">
        <v>41</v>
      </c>
      <c r="Q19" s="79" t="s">
        <v>41</v>
      </c>
      <c r="R19" s="14"/>
      <c r="S19" s="14"/>
      <c r="T19" s="15"/>
      <c r="U19" s="5"/>
      <c r="V19" s="26">
        <f t="shared" si="2"/>
        <v>0.5</v>
      </c>
      <c r="W19" s="27" t="str">
        <f t="shared" si="3"/>
        <v>ALERTA</v>
      </c>
      <c r="X19" s="18">
        <f t="shared" si="4"/>
        <v>4</v>
      </c>
      <c r="Y19" s="18">
        <f t="shared" si="1"/>
        <v>2</v>
      </c>
    </row>
    <row r="20" spans="1:25" ht="21.75" customHeight="1" x14ac:dyDescent="0.35">
      <c r="A20" s="19">
        <v>2026</v>
      </c>
      <c r="B20" s="75" t="s">
        <v>72</v>
      </c>
      <c r="C20" s="76" t="s">
        <v>73</v>
      </c>
      <c r="D20" s="20" t="s">
        <v>35</v>
      </c>
      <c r="E20" s="21" t="s">
        <v>36</v>
      </c>
      <c r="F20" s="77" t="s">
        <v>74</v>
      </c>
      <c r="G20" s="28"/>
      <c r="H20" s="23" t="s">
        <v>49</v>
      </c>
      <c r="I20" s="24"/>
      <c r="J20" s="13" t="s">
        <v>39</v>
      </c>
      <c r="K20" s="13" t="s">
        <v>39</v>
      </c>
      <c r="L20" s="78" t="s">
        <v>40</v>
      </c>
      <c r="M20" s="13" t="s">
        <v>39</v>
      </c>
      <c r="N20" s="13" t="s">
        <v>39</v>
      </c>
      <c r="O20" s="13" t="s">
        <v>39</v>
      </c>
      <c r="P20" s="78" t="s">
        <v>41</v>
      </c>
      <c r="Q20" s="13" t="s">
        <v>39</v>
      </c>
      <c r="R20" s="13" t="s">
        <v>39</v>
      </c>
      <c r="S20" s="13" t="s">
        <v>39</v>
      </c>
      <c r="T20" s="25" t="s">
        <v>75</v>
      </c>
      <c r="U20" s="81">
        <v>46177</v>
      </c>
      <c r="V20" s="26">
        <f t="shared" si="2"/>
        <v>0.5</v>
      </c>
      <c r="W20" s="27" t="str">
        <f t="shared" si="3"/>
        <v>ALERTA</v>
      </c>
      <c r="X20" s="18">
        <f t="shared" si="4"/>
        <v>2</v>
      </c>
      <c r="Y20" s="18">
        <f t="shared" si="1"/>
        <v>1</v>
      </c>
    </row>
    <row r="21" spans="1:25" ht="21.75" customHeight="1" x14ac:dyDescent="0.35">
      <c r="A21" s="5">
        <v>2026</v>
      </c>
      <c r="B21" s="73" t="s">
        <v>76</v>
      </c>
      <c r="C21" s="74" t="s">
        <v>77</v>
      </c>
      <c r="D21" s="8" t="s">
        <v>35</v>
      </c>
      <c r="E21" s="9" t="s">
        <v>36</v>
      </c>
      <c r="F21" s="77" t="s">
        <v>36</v>
      </c>
      <c r="G21" s="10">
        <v>46188</v>
      </c>
      <c r="H21" s="11" t="s">
        <v>49</v>
      </c>
      <c r="I21" s="12" t="s">
        <v>78</v>
      </c>
      <c r="J21" s="13" t="s">
        <v>39</v>
      </c>
      <c r="K21" s="14"/>
      <c r="L21" s="78" t="s">
        <v>40</v>
      </c>
      <c r="M21" s="13" t="s">
        <v>39</v>
      </c>
      <c r="N21" s="13" t="s">
        <v>39</v>
      </c>
      <c r="O21" s="13" t="s">
        <v>39</v>
      </c>
      <c r="P21" s="79" t="s">
        <v>41</v>
      </c>
      <c r="Q21" s="13" t="s">
        <v>39</v>
      </c>
      <c r="R21" s="14"/>
      <c r="S21" s="14" t="s">
        <v>39</v>
      </c>
      <c r="T21" s="15" t="s">
        <v>79</v>
      </c>
      <c r="U21" s="5"/>
      <c r="V21" s="26">
        <f t="shared" si="2"/>
        <v>0.5</v>
      </c>
      <c r="W21" s="27" t="str">
        <f t="shared" si="3"/>
        <v>ALERTA</v>
      </c>
      <c r="X21" s="18">
        <f t="shared" si="4"/>
        <v>2</v>
      </c>
      <c r="Y21" s="18">
        <f t="shared" si="1"/>
        <v>1</v>
      </c>
    </row>
    <row r="22" spans="1:25" ht="21.75" customHeight="1" x14ac:dyDescent="0.35">
      <c r="A22" s="19">
        <v>2026</v>
      </c>
      <c r="B22" s="75" t="s">
        <v>80</v>
      </c>
      <c r="C22" s="76" t="s">
        <v>81</v>
      </c>
      <c r="D22" s="20" t="s">
        <v>35</v>
      </c>
      <c r="E22" s="21" t="s">
        <v>82</v>
      </c>
      <c r="F22" s="77" t="s">
        <v>74</v>
      </c>
      <c r="G22" s="28"/>
      <c r="H22" s="23" t="s">
        <v>49</v>
      </c>
      <c r="I22" s="24"/>
      <c r="J22" s="13" t="s">
        <v>39</v>
      </c>
      <c r="K22" s="78" t="s">
        <v>40</v>
      </c>
      <c r="L22" s="78" t="s">
        <v>40</v>
      </c>
      <c r="M22" s="78" t="s">
        <v>40</v>
      </c>
      <c r="N22" s="78" t="s">
        <v>40</v>
      </c>
      <c r="O22" s="13" t="s">
        <v>39</v>
      </c>
      <c r="P22" s="13" t="s">
        <v>39</v>
      </c>
      <c r="Q22" s="13" t="s">
        <v>39</v>
      </c>
      <c r="R22" s="13" t="s">
        <v>39</v>
      </c>
      <c r="S22" s="79" t="s">
        <v>41</v>
      </c>
      <c r="T22" s="25" t="s">
        <v>83</v>
      </c>
      <c r="U22" s="81">
        <v>46177</v>
      </c>
      <c r="V22" s="26">
        <f t="shared" si="2"/>
        <v>0.2</v>
      </c>
      <c r="W22" s="27" t="str">
        <f t="shared" si="3"/>
        <v>CRITICO</v>
      </c>
      <c r="X22" s="18">
        <f t="shared" si="4"/>
        <v>5</v>
      </c>
      <c r="Y22" s="18">
        <f t="shared" si="1"/>
        <v>1</v>
      </c>
    </row>
    <row r="23" spans="1:25" ht="21.75" customHeight="1" x14ac:dyDescent="0.35">
      <c r="A23" s="5">
        <v>2026</v>
      </c>
      <c r="B23" s="73" t="s">
        <v>84</v>
      </c>
      <c r="C23" s="74" t="s">
        <v>85</v>
      </c>
      <c r="D23" s="8" t="s">
        <v>86</v>
      </c>
      <c r="E23" s="9" t="s">
        <v>53</v>
      </c>
      <c r="F23" s="77" t="s">
        <v>53</v>
      </c>
      <c r="G23" s="10">
        <v>46356</v>
      </c>
      <c r="H23" s="11" t="s">
        <v>57</v>
      </c>
      <c r="I23" s="12" t="s">
        <v>694</v>
      </c>
      <c r="J23" s="78" t="s">
        <v>40</v>
      </c>
      <c r="K23" s="14"/>
      <c r="L23" s="78" t="s">
        <v>40</v>
      </c>
      <c r="M23" s="13" t="s">
        <v>39</v>
      </c>
      <c r="N23" s="14"/>
      <c r="O23" s="14"/>
      <c r="P23" s="13" t="s">
        <v>39</v>
      </c>
      <c r="Q23" s="79" t="s">
        <v>41</v>
      </c>
      <c r="R23" s="14"/>
      <c r="S23" s="14"/>
      <c r="T23" s="15"/>
      <c r="U23" s="5"/>
      <c r="V23" s="26">
        <f t="shared" si="2"/>
        <v>0.33333333333333331</v>
      </c>
      <c r="W23" s="27" t="str">
        <f t="shared" si="3"/>
        <v>CRITICO</v>
      </c>
      <c r="X23" s="18">
        <f t="shared" si="4"/>
        <v>3</v>
      </c>
      <c r="Y23" s="18">
        <f t="shared" si="1"/>
        <v>1</v>
      </c>
    </row>
    <row r="24" spans="1:25" ht="21.75" customHeight="1" x14ac:dyDescent="0.35">
      <c r="A24" s="19">
        <v>2026</v>
      </c>
      <c r="B24" s="75" t="s">
        <v>87</v>
      </c>
      <c r="C24" s="76" t="s">
        <v>88</v>
      </c>
      <c r="D24" s="20" t="s">
        <v>35</v>
      </c>
      <c r="E24" s="21" t="s">
        <v>53</v>
      </c>
      <c r="F24" s="77" t="s">
        <v>89</v>
      </c>
      <c r="G24" s="28"/>
      <c r="H24" s="23" t="s">
        <v>45</v>
      </c>
      <c r="I24" s="24"/>
      <c r="J24" s="13" t="s">
        <v>39</v>
      </c>
      <c r="K24" s="78" t="s">
        <v>40</v>
      </c>
      <c r="L24" s="78" t="s">
        <v>40</v>
      </c>
      <c r="M24" s="13" t="s">
        <v>39</v>
      </c>
      <c r="N24" s="13" t="s">
        <v>39</v>
      </c>
      <c r="O24" s="13" t="s">
        <v>39</v>
      </c>
      <c r="P24" s="13" t="s">
        <v>39</v>
      </c>
      <c r="Q24" s="13" t="s">
        <v>39</v>
      </c>
      <c r="R24" s="13" t="s">
        <v>39</v>
      </c>
      <c r="S24" s="14"/>
      <c r="T24" s="25"/>
      <c r="U24" s="19"/>
      <c r="V24" s="26">
        <f t="shared" si="2"/>
        <v>0</v>
      </c>
      <c r="W24" s="27" t="str">
        <f t="shared" si="3"/>
        <v>CRITICO</v>
      </c>
      <c r="X24" s="18">
        <f t="shared" si="4"/>
        <v>2</v>
      </c>
      <c r="Y24" s="18">
        <f t="shared" si="1"/>
        <v>0</v>
      </c>
    </row>
    <row r="25" spans="1:25" ht="21.75" customHeight="1" x14ac:dyDescent="0.35">
      <c r="A25" s="5">
        <v>2026</v>
      </c>
      <c r="B25" s="73" t="s">
        <v>90</v>
      </c>
      <c r="C25" s="74" t="s">
        <v>91</v>
      </c>
      <c r="D25" s="8" t="s">
        <v>35</v>
      </c>
      <c r="E25" s="9" t="s">
        <v>92</v>
      </c>
      <c r="F25" s="77" t="s">
        <v>92</v>
      </c>
      <c r="G25" s="10">
        <v>46173</v>
      </c>
      <c r="H25" s="11" t="s">
        <v>37</v>
      </c>
      <c r="I25" s="12"/>
      <c r="J25" s="13" t="s">
        <v>39</v>
      </c>
      <c r="K25" s="14"/>
      <c r="L25" s="78" t="s">
        <v>40</v>
      </c>
      <c r="M25" s="13" t="s">
        <v>39</v>
      </c>
      <c r="N25" s="13" t="s">
        <v>39</v>
      </c>
      <c r="O25" s="13" t="s">
        <v>39</v>
      </c>
      <c r="P25" s="13" t="s">
        <v>39</v>
      </c>
      <c r="Q25" s="13" t="s">
        <v>39</v>
      </c>
      <c r="R25" s="14"/>
      <c r="S25" s="14"/>
      <c r="T25" s="15"/>
      <c r="U25" s="5"/>
      <c r="V25" s="26">
        <f t="shared" si="2"/>
        <v>0</v>
      </c>
      <c r="W25" s="27" t="str">
        <f t="shared" si="3"/>
        <v>CRITICO</v>
      </c>
      <c r="X25" s="18">
        <f t="shared" si="4"/>
        <v>1</v>
      </c>
      <c r="Y25" s="18">
        <f t="shared" si="1"/>
        <v>0</v>
      </c>
    </row>
    <row r="26" spans="1:25" ht="21.75" customHeight="1" x14ac:dyDescent="0.35">
      <c r="A26" s="19">
        <v>2026</v>
      </c>
      <c r="B26" s="75" t="s">
        <v>93</v>
      </c>
      <c r="C26" s="76" t="s">
        <v>94</v>
      </c>
      <c r="D26" s="20" t="s">
        <v>35</v>
      </c>
      <c r="E26" s="21" t="s">
        <v>36</v>
      </c>
      <c r="F26" s="77" t="s">
        <v>89</v>
      </c>
      <c r="G26" s="28"/>
      <c r="H26" s="23" t="s">
        <v>49</v>
      </c>
      <c r="I26" s="24"/>
      <c r="J26" s="13" t="s">
        <v>39</v>
      </c>
      <c r="K26" s="78" t="s">
        <v>40</v>
      </c>
      <c r="L26" s="78" t="s">
        <v>40</v>
      </c>
      <c r="M26" s="13" t="s">
        <v>39</v>
      </c>
      <c r="N26" s="13" t="s">
        <v>39</v>
      </c>
      <c r="O26" s="13" t="s">
        <v>39</v>
      </c>
      <c r="P26" s="79" t="s">
        <v>41</v>
      </c>
      <c r="Q26" s="13" t="s">
        <v>39</v>
      </c>
      <c r="R26" s="78" t="s">
        <v>40</v>
      </c>
      <c r="S26" s="13" t="s">
        <v>39</v>
      </c>
      <c r="T26" s="25" t="s">
        <v>95</v>
      </c>
      <c r="U26" s="81">
        <v>46177</v>
      </c>
      <c r="V26" s="26">
        <f t="shared" si="2"/>
        <v>0.25</v>
      </c>
      <c r="W26" s="27" t="str">
        <f t="shared" si="3"/>
        <v>CRITICO</v>
      </c>
      <c r="X26" s="18">
        <f t="shared" si="4"/>
        <v>4</v>
      </c>
      <c r="Y26" s="18">
        <f t="shared" si="1"/>
        <v>1</v>
      </c>
    </row>
    <row r="27" spans="1:25" ht="21.75" customHeight="1" x14ac:dyDescent="0.35">
      <c r="A27" s="5">
        <v>2026</v>
      </c>
      <c r="B27" s="73" t="s">
        <v>96</v>
      </c>
      <c r="C27" s="74" t="s">
        <v>97</v>
      </c>
      <c r="D27" s="8" t="s">
        <v>35</v>
      </c>
      <c r="E27" s="9" t="s">
        <v>36</v>
      </c>
      <c r="F27" s="77" t="s">
        <v>36</v>
      </c>
      <c r="G27" s="10">
        <v>46174</v>
      </c>
      <c r="H27" s="11" t="s">
        <v>49</v>
      </c>
      <c r="I27" s="12" t="s">
        <v>98</v>
      </c>
      <c r="J27" s="13" t="s">
        <v>39</v>
      </c>
      <c r="K27" s="14"/>
      <c r="L27" s="78" t="s">
        <v>40</v>
      </c>
      <c r="M27" s="13" t="s">
        <v>39</v>
      </c>
      <c r="N27" s="13" t="s">
        <v>39</v>
      </c>
      <c r="O27" s="13" t="s">
        <v>39</v>
      </c>
      <c r="P27" s="79" t="s">
        <v>41</v>
      </c>
      <c r="Q27" s="79" t="s">
        <v>41</v>
      </c>
      <c r="R27" s="14"/>
      <c r="S27" s="14"/>
      <c r="T27" s="15"/>
      <c r="U27" s="5"/>
      <c r="V27" s="26">
        <f t="shared" si="2"/>
        <v>0.66666666666666663</v>
      </c>
      <c r="W27" s="27" t="str">
        <f t="shared" si="3"/>
        <v>ALERTA</v>
      </c>
      <c r="X27" s="18">
        <f t="shared" si="4"/>
        <v>3</v>
      </c>
      <c r="Y27" s="18">
        <f t="shared" si="1"/>
        <v>2</v>
      </c>
    </row>
    <row r="28" spans="1:25" ht="21.75" customHeight="1" x14ac:dyDescent="0.35">
      <c r="A28" s="19">
        <v>2026</v>
      </c>
      <c r="B28" s="75" t="s">
        <v>99</v>
      </c>
      <c r="C28" s="76" t="s">
        <v>100</v>
      </c>
      <c r="D28" s="20" t="s">
        <v>35</v>
      </c>
      <c r="E28" s="21" t="s">
        <v>36</v>
      </c>
      <c r="F28" s="77" t="s">
        <v>101</v>
      </c>
      <c r="G28" s="28"/>
      <c r="H28" s="23" t="s">
        <v>49</v>
      </c>
      <c r="I28" s="24"/>
      <c r="J28" s="13" t="s">
        <v>39</v>
      </c>
      <c r="K28" s="13" t="s">
        <v>39</v>
      </c>
      <c r="L28" s="13" t="s">
        <v>39</v>
      </c>
      <c r="M28" s="13" t="s">
        <v>39</v>
      </c>
      <c r="N28" s="13" t="s">
        <v>39</v>
      </c>
      <c r="O28" s="13" t="s">
        <v>39</v>
      </c>
      <c r="P28" s="13" t="s">
        <v>39</v>
      </c>
      <c r="Q28" s="13" t="s">
        <v>39</v>
      </c>
      <c r="R28" s="13" t="s">
        <v>39</v>
      </c>
      <c r="S28" s="13" t="s">
        <v>39</v>
      </c>
      <c r="T28" s="25" t="s">
        <v>102</v>
      </c>
      <c r="U28" s="19"/>
      <c r="V28" s="26" t="str">
        <f t="shared" si="2"/>
        <v/>
      </c>
      <c r="W28" s="27" t="str">
        <f t="shared" si="3"/>
        <v>CANCELADO</v>
      </c>
      <c r="X28" s="18">
        <f t="shared" si="4"/>
        <v>0</v>
      </c>
      <c r="Y28" s="18">
        <f t="shared" si="1"/>
        <v>0</v>
      </c>
    </row>
    <row r="29" spans="1:25" ht="21.75" customHeight="1" x14ac:dyDescent="0.35">
      <c r="A29" s="5">
        <v>2026</v>
      </c>
      <c r="B29" s="73" t="s">
        <v>103</v>
      </c>
      <c r="C29" s="74" t="s">
        <v>104</v>
      </c>
      <c r="D29" s="8" t="s">
        <v>35</v>
      </c>
      <c r="E29" s="9" t="s">
        <v>53</v>
      </c>
      <c r="F29" s="77" t="s">
        <v>74</v>
      </c>
      <c r="G29" s="29"/>
      <c r="H29" s="11" t="s">
        <v>49</v>
      </c>
      <c r="I29" s="12"/>
      <c r="J29" s="13" t="s">
        <v>39</v>
      </c>
      <c r="K29" s="13" t="s">
        <v>39</v>
      </c>
      <c r="L29" s="13" t="s">
        <v>40</v>
      </c>
      <c r="M29" s="13" t="s">
        <v>39</v>
      </c>
      <c r="N29" s="13" t="s">
        <v>39</v>
      </c>
      <c r="O29" s="13" t="s">
        <v>39</v>
      </c>
      <c r="P29" s="13" t="s">
        <v>39</v>
      </c>
      <c r="Q29" s="13" t="s">
        <v>39</v>
      </c>
      <c r="R29" s="13" t="s">
        <v>39</v>
      </c>
      <c r="S29" s="13" t="s">
        <v>39</v>
      </c>
      <c r="T29" s="15" t="s">
        <v>105</v>
      </c>
      <c r="U29" s="80">
        <v>46177</v>
      </c>
      <c r="V29" s="26">
        <f t="shared" si="2"/>
        <v>0</v>
      </c>
      <c r="W29" s="27" t="str">
        <f t="shared" si="3"/>
        <v>CRITICO</v>
      </c>
      <c r="X29" s="18">
        <f t="shared" si="4"/>
        <v>1</v>
      </c>
      <c r="Y29" s="18">
        <f t="shared" si="1"/>
        <v>0</v>
      </c>
    </row>
    <row r="30" spans="1:25" ht="21.75" customHeight="1" x14ac:dyDescent="0.35">
      <c r="A30" s="19">
        <v>2026</v>
      </c>
      <c r="B30" s="75" t="s">
        <v>106</v>
      </c>
      <c r="C30" s="76" t="s">
        <v>107</v>
      </c>
      <c r="D30" s="20" t="s">
        <v>35</v>
      </c>
      <c r="E30" s="21" t="s">
        <v>44</v>
      </c>
      <c r="F30" s="77" t="s">
        <v>74</v>
      </c>
      <c r="G30" s="28"/>
      <c r="H30" s="23" t="s">
        <v>37</v>
      </c>
      <c r="I30" s="24"/>
      <c r="J30" s="13" t="s">
        <v>39</v>
      </c>
      <c r="K30" s="79" t="s">
        <v>41</v>
      </c>
      <c r="L30" s="78" t="s">
        <v>40</v>
      </c>
      <c r="M30" s="13" t="s">
        <v>39</v>
      </c>
      <c r="N30" s="13" t="s">
        <v>39</v>
      </c>
      <c r="O30" s="13" t="s">
        <v>39</v>
      </c>
      <c r="P30" s="13" t="s">
        <v>39</v>
      </c>
      <c r="Q30" s="13" t="s">
        <v>39</v>
      </c>
      <c r="R30" s="78" t="s">
        <v>40</v>
      </c>
      <c r="S30" s="13" t="s">
        <v>39</v>
      </c>
      <c r="T30" s="25" t="s">
        <v>108</v>
      </c>
      <c r="U30" s="19"/>
      <c r="V30" s="26">
        <f t="shared" si="2"/>
        <v>0.33333333333333331</v>
      </c>
      <c r="W30" s="27" t="str">
        <f t="shared" si="3"/>
        <v>CRITICO</v>
      </c>
      <c r="X30" s="18">
        <f t="shared" si="4"/>
        <v>3</v>
      </c>
      <c r="Y30" s="18">
        <f t="shared" si="1"/>
        <v>1</v>
      </c>
    </row>
    <row r="31" spans="1:25" ht="21.75" customHeight="1" x14ac:dyDescent="0.35">
      <c r="A31" s="5">
        <v>2026</v>
      </c>
      <c r="B31" s="73" t="s">
        <v>109</v>
      </c>
      <c r="C31" s="74" t="s">
        <v>110</v>
      </c>
      <c r="D31" s="8" t="s">
        <v>86</v>
      </c>
      <c r="E31" s="9" t="s">
        <v>111</v>
      </c>
      <c r="F31" s="77" t="s">
        <v>82</v>
      </c>
      <c r="G31" s="10">
        <v>46538</v>
      </c>
      <c r="H31" s="11" t="s">
        <v>49</v>
      </c>
      <c r="I31" s="12"/>
      <c r="J31" s="78" t="s">
        <v>40</v>
      </c>
      <c r="K31" s="14"/>
      <c r="L31" s="78" t="s">
        <v>40</v>
      </c>
      <c r="M31" s="13" t="s">
        <v>39</v>
      </c>
      <c r="N31" s="14"/>
      <c r="O31" s="14"/>
      <c r="P31" s="14"/>
      <c r="Q31" s="14"/>
      <c r="R31" s="14"/>
      <c r="S31" s="13" t="s">
        <v>39</v>
      </c>
      <c r="T31" s="15" t="s">
        <v>112</v>
      </c>
      <c r="U31" s="5"/>
      <c r="V31" s="26">
        <f t="shared" si="2"/>
        <v>0</v>
      </c>
      <c r="W31" s="27" t="str">
        <f t="shared" si="3"/>
        <v>CRITICO</v>
      </c>
      <c r="X31" s="18">
        <f t="shared" si="4"/>
        <v>2</v>
      </c>
      <c r="Y31" s="18">
        <f t="shared" si="1"/>
        <v>0</v>
      </c>
    </row>
    <row r="32" spans="1:25" ht="21.75" customHeight="1" x14ac:dyDescent="0.35">
      <c r="A32" s="19">
        <v>2026</v>
      </c>
      <c r="B32" s="75" t="s">
        <v>113</v>
      </c>
      <c r="C32" s="76" t="s">
        <v>114</v>
      </c>
      <c r="D32" s="20" t="s">
        <v>35</v>
      </c>
      <c r="E32" s="21" t="s">
        <v>36</v>
      </c>
      <c r="F32" s="77" t="s">
        <v>74</v>
      </c>
      <c r="G32" s="28"/>
      <c r="H32" s="23" t="s">
        <v>37</v>
      </c>
      <c r="I32" s="24" t="s">
        <v>115</v>
      </c>
      <c r="J32" s="13" t="s">
        <v>39</v>
      </c>
      <c r="K32" s="78" t="s">
        <v>40</v>
      </c>
      <c r="L32" s="78" t="s">
        <v>40</v>
      </c>
      <c r="M32" s="13" t="s">
        <v>39</v>
      </c>
      <c r="N32" s="13" t="s">
        <v>39</v>
      </c>
      <c r="O32" s="13" t="s">
        <v>39</v>
      </c>
      <c r="P32" s="79" t="s">
        <v>41</v>
      </c>
      <c r="Q32" s="13" t="s">
        <v>39</v>
      </c>
      <c r="R32" s="79" t="s">
        <v>41</v>
      </c>
      <c r="S32" s="13" t="s">
        <v>39</v>
      </c>
      <c r="T32" s="25"/>
      <c r="U32" s="19"/>
      <c r="V32" s="26">
        <f t="shared" si="2"/>
        <v>0.5</v>
      </c>
      <c r="W32" s="27" t="str">
        <f t="shared" si="3"/>
        <v>ALERTA</v>
      </c>
      <c r="X32" s="18">
        <f t="shared" si="4"/>
        <v>4</v>
      </c>
      <c r="Y32" s="18">
        <f t="shared" si="1"/>
        <v>2</v>
      </c>
    </row>
    <row r="33" spans="1:25" ht="21.75" customHeight="1" x14ac:dyDescent="0.35">
      <c r="A33" s="5">
        <v>2025</v>
      </c>
      <c r="B33" s="73" t="s">
        <v>116</v>
      </c>
      <c r="C33" s="74" t="s">
        <v>117</v>
      </c>
      <c r="D33" s="8" t="s">
        <v>35</v>
      </c>
      <c r="E33" s="9" t="s">
        <v>44</v>
      </c>
      <c r="F33" s="77" t="s">
        <v>74</v>
      </c>
      <c r="G33" s="29"/>
      <c r="H33" s="11" t="s">
        <v>37</v>
      </c>
      <c r="I33" s="12"/>
      <c r="J33" s="13" t="s">
        <v>39</v>
      </c>
      <c r="K33" s="79" t="s">
        <v>41</v>
      </c>
      <c r="L33" s="78" t="s">
        <v>40</v>
      </c>
      <c r="M33" s="78" t="s">
        <v>40</v>
      </c>
      <c r="N33" s="78" t="s">
        <v>40</v>
      </c>
      <c r="O33" s="13" t="s">
        <v>39</v>
      </c>
      <c r="P33" s="13" t="s">
        <v>39</v>
      </c>
      <c r="Q33" s="13" t="s">
        <v>39</v>
      </c>
      <c r="R33" s="79" t="s">
        <v>41</v>
      </c>
      <c r="S33" s="14"/>
      <c r="T33" s="15"/>
      <c r="U33" s="5"/>
      <c r="V33" s="26">
        <f t="shared" si="2"/>
        <v>0.4</v>
      </c>
      <c r="W33" s="27" t="str">
        <f t="shared" si="3"/>
        <v>CRITICO</v>
      </c>
      <c r="X33" s="18">
        <f t="shared" si="4"/>
        <v>5</v>
      </c>
      <c r="Y33" s="18">
        <f t="shared" si="1"/>
        <v>2</v>
      </c>
    </row>
    <row r="34" spans="1:25" ht="21.75" customHeight="1" x14ac:dyDescent="0.35">
      <c r="A34" s="19">
        <v>2025</v>
      </c>
      <c r="B34" s="75" t="s">
        <v>118</v>
      </c>
      <c r="C34" s="76" t="s">
        <v>119</v>
      </c>
      <c r="D34" s="20" t="s">
        <v>48</v>
      </c>
      <c r="E34" s="21" t="s">
        <v>120</v>
      </c>
      <c r="F34" s="77" t="s">
        <v>101</v>
      </c>
      <c r="G34" s="28"/>
      <c r="H34" s="23" t="s">
        <v>37</v>
      </c>
      <c r="I34" s="24"/>
      <c r="J34" s="78" t="s">
        <v>39</v>
      </c>
      <c r="K34" s="13" t="s">
        <v>39</v>
      </c>
      <c r="L34" s="78" t="s">
        <v>39</v>
      </c>
      <c r="M34" s="13" t="s">
        <v>39</v>
      </c>
      <c r="N34" s="13" t="s">
        <v>39</v>
      </c>
      <c r="O34" s="13" t="s">
        <v>39</v>
      </c>
      <c r="P34" s="13" t="s">
        <v>39</v>
      </c>
      <c r="Q34" s="13" t="s">
        <v>39</v>
      </c>
      <c r="R34" s="13" t="s">
        <v>39</v>
      </c>
      <c r="S34" s="13" t="s">
        <v>39</v>
      </c>
      <c r="T34" s="25" t="s">
        <v>122</v>
      </c>
      <c r="U34" s="19"/>
      <c r="V34" s="26" t="str">
        <f t="shared" si="2"/>
        <v/>
      </c>
      <c r="W34" s="27" t="str">
        <f t="shared" si="3"/>
        <v>CANCELADO</v>
      </c>
      <c r="X34" s="18">
        <f t="shared" si="4"/>
        <v>0</v>
      </c>
      <c r="Y34" s="18">
        <f t="shared" si="1"/>
        <v>0</v>
      </c>
    </row>
    <row r="35" spans="1:25" ht="21.75" customHeight="1" x14ac:dyDescent="0.35">
      <c r="A35" s="5">
        <v>2026</v>
      </c>
      <c r="B35" s="73" t="s">
        <v>123</v>
      </c>
      <c r="C35" s="74" t="s">
        <v>124</v>
      </c>
      <c r="D35" s="8" t="s">
        <v>35</v>
      </c>
      <c r="E35" s="9" t="s">
        <v>82</v>
      </c>
      <c r="F35" s="77" t="s">
        <v>82</v>
      </c>
      <c r="G35" s="10">
        <v>46203</v>
      </c>
      <c r="H35" s="11" t="s">
        <v>45</v>
      </c>
      <c r="I35" s="12"/>
      <c r="J35" s="13" t="s">
        <v>39</v>
      </c>
      <c r="K35" s="14"/>
      <c r="L35" s="78" t="s">
        <v>40</v>
      </c>
      <c r="M35" s="14"/>
      <c r="N35" s="14"/>
      <c r="O35" s="13" t="s">
        <v>39</v>
      </c>
      <c r="P35" s="13" t="s">
        <v>39</v>
      </c>
      <c r="Q35" s="13" t="s">
        <v>39</v>
      </c>
      <c r="R35" s="14"/>
      <c r="S35" s="14"/>
      <c r="T35" s="15"/>
      <c r="U35" s="30">
        <v>45978</v>
      </c>
      <c r="V35" s="26">
        <f t="shared" si="2"/>
        <v>0</v>
      </c>
      <c r="W35" s="27" t="str">
        <f t="shared" si="3"/>
        <v>CRITICO</v>
      </c>
      <c r="X35" s="18">
        <f t="shared" si="4"/>
        <v>1</v>
      </c>
      <c r="Y35" s="18">
        <f t="shared" si="1"/>
        <v>0</v>
      </c>
    </row>
    <row r="36" spans="1:25" ht="21.75" customHeight="1" x14ac:dyDescent="0.35">
      <c r="A36" s="19">
        <v>2025</v>
      </c>
      <c r="B36" s="75" t="s">
        <v>125</v>
      </c>
      <c r="C36" s="76" t="s">
        <v>126</v>
      </c>
      <c r="D36" s="20" t="s">
        <v>35</v>
      </c>
      <c r="E36" s="21" t="s">
        <v>36</v>
      </c>
      <c r="F36" s="77" t="s">
        <v>74</v>
      </c>
      <c r="G36" s="28"/>
      <c r="H36" s="23" t="s">
        <v>45</v>
      </c>
      <c r="I36" s="24"/>
      <c r="J36" s="13" t="s">
        <v>39</v>
      </c>
      <c r="K36" s="78" t="s">
        <v>40</v>
      </c>
      <c r="L36" s="78" t="s">
        <v>40</v>
      </c>
      <c r="M36" s="13" t="s">
        <v>39</v>
      </c>
      <c r="N36" s="13" t="s">
        <v>39</v>
      </c>
      <c r="O36" s="13" t="s">
        <v>39</v>
      </c>
      <c r="P36" s="79" t="s">
        <v>41</v>
      </c>
      <c r="Q36" s="13" t="s">
        <v>39</v>
      </c>
      <c r="R36" s="79" t="s">
        <v>41</v>
      </c>
      <c r="S36" s="14"/>
      <c r="T36" s="25" t="s">
        <v>127</v>
      </c>
      <c r="U36" s="31">
        <v>45978</v>
      </c>
      <c r="V36" s="26">
        <f t="shared" si="2"/>
        <v>0.5</v>
      </c>
      <c r="W36" s="27" t="str">
        <f t="shared" si="3"/>
        <v>ALERTA</v>
      </c>
      <c r="X36" s="18">
        <f t="shared" si="4"/>
        <v>4</v>
      </c>
      <c r="Y36" s="18">
        <f t="shared" si="1"/>
        <v>2</v>
      </c>
    </row>
    <row r="37" spans="1:25" ht="21.75" customHeight="1" x14ac:dyDescent="0.35">
      <c r="A37" s="5">
        <v>2026</v>
      </c>
      <c r="B37" s="73" t="s">
        <v>128</v>
      </c>
      <c r="C37" s="74" t="s">
        <v>129</v>
      </c>
      <c r="D37" s="8" t="s">
        <v>86</v>
      </c>
      <c r="E37" s="9" t="s">
        <v>130</v>
      </c>
      <c r="F37" s="77" t="s">
        <v>36</v>
      </c>
      <c r="G37" s="10">
        <v>46356</v>
      </c>
      <c r="H37" s="11" t="s">
        <v>57</v>
      </c>
      <c r="I37" s="12" t="s">
        <v>693</v>
      </c>
      <c r="J37" s="78" t="s">
        <v>40</v>
      </c>
      <c r="K37" s="14"/>
      <c r="L37" s="78" t="s">
        <v>40</v>
      </c>
      <c r="M37" s="13" t="s">
        <v>39</v>
      </c>
      <c r="N37" s="14"/>
      <c r="O37" s="14"/>
      <c r="P37" s="79" t="s">
        <v>41</v>
      </c>
      <c r="Q37" s="79" t="s">
        <v>41</v>
      </c>
      <c r="R37" s="14"/>
      <c r="S37" s="13" t="s">
        <v>39</v>
      </c>
      <c r="T37" s="15" t="s">
        <v>131</v>
      </c>
      <c r="U37" s="5"/>
      <c r="V37" s="26">
        <f t="shared" si="2"/>
        <v>0.5</v>
      </c>
      <c r="W37" s="27" t="str">
        <f t="shared" si="3"/>
        <v>ALERTA</v>
      </c>
      <c r="X37" s="18">
        <f t="shared" si="4"/>
        <v>4</v>
      </c>
      <c r="Y37" s="18">
        <f t="shared" si="1"/>
        <v>2</v>
      </c>
    </row>
    <row r="38" spans="1:25" ht="21.75" customHeight="1" x14ac:dyDescent="0.35">
      <c r="A38" s="19">
        <v>2026</v>
      </c>
      <c r="B38" s="75" t="s">
        <v>132</v>
      </c>
      <c r="C38" s="76" t="s">
        <v>133</v>
      </c>
      <c r="D38" s="20" t="s">
        <v>86</v>
      </c>
      <c r="E38" s="21" t="s">
        <v>44</v>
      </c>
      <c r="F38" s="77" t="s">
        <v>44</v>
      </c>
      <c r="G38" s="28"/>
      <c r="H38" s="23" t="s">
        <v>45</v>
      </c>
      <c r="I38" s="24"/>
      <c r="J38" s="78" t="s">
        <v>40</v>
      </c>
      <c r="K38" s="14"/>
      <c r="L38" s="78" t="s">
        <v>40</v>
      </c>
      <c r="M38" s="78" t="s">
        <v>40</v>
      </c>
      <c r="N38" s="14"/>
      <c r="O38" s="14"/>
      <c r="P38" s="13" t="s">
        <v>39</v>
      </c>
      <c r="Q38" s="78" t="s">
        <v>40</v>
      </c>
      <c r="R38" s="14"/>
      <c r="S38" s="14"/>
      <c r="T38" s="25" t="s">
        <v>134</v>
      </c>
      <c r="U38" s="31">
        <v>45978</v>
      </c>
      <c r="V38" s="26">
        <f t="shared" si="2"/>
        <v>0</v>
      </c>
      <c r="W38" s="27" t="str">
        <f t="shared" si="3"/>
        <v>CRITICO</v>
      </c>
      <c r="X38" s="18">
        <f t="shared" si="4"/>
        <v>4</v>
      </c>
      <c r="Y38" s="18">
        <f t="shared" si="1"/>
        <v>0</v>
      </c>
    </row>
    <row r="39" spans="1:25" ht="21.75" customHeight="1" x14ac:dyDescent="0.35">
      <c r="A39" s="5">
        <v>2025</v>
      </c>
      <c r="B39" s="73" t="s">
        <v>135</v>
      </c>
      <c r="C39" s="74" t="s">
        <v>136</v>
      </c>
      <c r="D39" s="8" t="s">
        <v>35</v>
      </c>
      <c r="E39" s="9" t="s">
        <v>36</v>
      </c>
      <c r="F39" s="77" t="s">
        <v>74</v>
      </c>
      <c r="G39" s="29"/>
      <c r="H39" s="11" t="s">
        <v>137</v>
      </c>
      <c r="I39" s="12" t="s">
        <v>138</v>
      </c>
      <c r="J39" s="13" t="s">
        <v>39</v>
      </c>
      <c r="K39" s="78" t="s">
        <v>40</v>
      </c>
      <c r="L39" s="78" t="s">
        <v>40</v>
      </c>
      <c r="M39" s="13" t="s">
        <v>39</v>
      </c>
      <c r="N39" s="13" t="s">
        <v>39</v>
      </c>
      <c r="O39" s="13" t="s">
        <v>39</v>
      </c>
      <c r="P39" s="78" t="s">
        <v>40</v>
      </c>
      <c r="Q39" s="13" t="s">
        <v>39</v>
      </c>
      <c r="R39" s="13" t="s">
        <v>39</v>
      </c>
      <c r="S39" s="14"/>
      <c r="T39" s="15"/>
      <c r="U39" s="5"/>
      <c r="V39" s="26">
        <f t="shared" si="2"/>
        <v>0</v>
      </c>
      <c r="W39" s="27" t="str">
        <f t="shared" si="3"/>
        <v>CRITICO</v>
      </c>
      <c r="X39" s="18">
        <f t="shared" si="4"/>
        <v>3</v>
      </c>
      <c r="Y39" s="18">
        <f t="shared" si="1"/>
        <v>0</v>
      </c>
    </row>
    <row r="40" spans="1:25" ht="21.75" customHeight="1" x14ac:dyDescent="0.35">
      <c r="A40" s="19">
        <v>2025</v>
      </c>
      <c r="B40" s="75" t="s">
        <v>139</v>
      </c>
      <c r="C40" s="76" t="s">
        <v>140</v>
      </c>
      <c r="D40" s="20" t="s">
        <v>35</v>
      </c>
      <c r="E40" s="21" t="s">
        <v>36</v>
      </c>
      <c r="F40" s="77" t="s">
        <v>74</v>
      </c>
      <c r="G40" s="28"/>
      <c r="H40" s="23" t="s">
        <v>37</v>
      </c>
      <c r="I40" s="24"/>
      <c r="J40" s="13" t="s">
        <v>39</v>
      </c>
      <c r="K40" s="78" t="s">
        <v>40</v>
      </c>
      <c r="L40" s="78" t="s">
        <v>40</v>
      </c>
      <c r="M40" s="13" t="s">
        <v>39</v>
      </c>
      <c r="N40" s="13" t="s">
        <v>39</v>
      </c>
      <c r="O40" s="13" t="s">
        <v>39</v>
      </c>
      <c r="P40" s="79" t="s">
        <v>41</v>
      </c>
      <c r="Q40" s="13" t="s">
        <v>39</v>
      </c>
      <c r="R40" s="79" t="s">
        <v>41</v>
      </c>
      <c r="S40" s="13" t="s">
        <v>39</v>
      </c>
      <c r="T40" s="25"/>
      <c r="U40" s="31">
        <v>45975</v>
      </c>
      <c r="V40" s="26">
        <f t="shared" si="2"/>
        <v>0.5</v>
      </c>
      <c r="W40" s="27" t="str">
        <f t="shared" si="3"/>
        <v>ALERTA</v>
      </c>
      <c r="X40" s="18">
        <f t="shared" si="4"/>
        <v>4</v>
      </c>
      <c r="Y40" s="18">
        <f t="shared" si="1"/>
        <v>2</v>
      </c>
    </row>
    <row r="41" spans="1:25" ht="21.75" customHeight="1" x14ac:dyDescent="0.35">
      <c r="A41" s="5">
        <v>2026</v>
      </c>
      <c r="B41" s="73" t="s">
        <v>141</v>
      </c>
      <c r="C41" s="74" t="s">
        <v>142</v>
      </c>
      <c r="D41" s="8" t="s">
        <v>35</v>
      </c>
      <c r="E41" s="9" t="s">
        <v>53</v>
      </c>
      <c r="F41" s="77" t="s">
        <v>74</v>
      </c>
      <c r="G41" s="29"/>
      <c r="H41" s="11" t="s">
        <v>37</v>
      </c>
      <c r="I41" s="12"/>
      <c r="J41" s="13" t="s">
        <v>39</v>
      </c>
      <c r="K41" s="79" t="s">
        <v>41</v>
      </c>
      <c r="L41" s="78" t="s">
        <v>40</v>
      </c>
      <c r="M41" s="78" t="s">
        <v>40</v>
      </c>
      <c r="N41" s="78" t="s">
        <v>40</v>
      </c>
      <c r="O41" s="13" t="s">
        <v>39</v>
      </c>
      <c r="P41" s="13" t="s">
        <v>39</v>
      </c>
      <c r="Q41" s="13" t="s">
        <v>39</v>
      </c>
      <c r="R41" s="79" t="s">
        <v>41</v>
      </c>
      <c r="S41" s="14"/>
      <c r="T41" s="15"/>
      <c r="U41" s="5"/>
      <c r="V41" s="26">
        <f t="shared" si="2"/>
        <v>0.4</v>
      </c>
      <c r="W41" s="27" t="str">
        <f t="shared" si="3"/>
        <v>CRITICO</v>
      </c>
      <c r="X41" s="18">
        <f t="shared" si="4"/>
        <v>5</v>
      </c>
      <c r="Y41" s="18">
        <f t="shared" si="1"/>
        <v>2</v>
      </c>
    </row>
    <row r="42" spans="1:25" ht="21.75" customHeight="1" x14ac:dyDescent="0.35">
      <c r="A42" s="19">
        <v>2026</v>
      </c>
      <c r="B42" s="75" t="s">
        <v>143</v>
      </c>
      <c r="C42" s="76" t="s">
        <v>144</v>
      </c>
      <c r="D42" s="20" t="s">
        <v>35</v>
      </c>
      <c r="E42" s="21" t="s">
        <v>145</v>
      </c>
      <c r="F42" s="77" t="s">
        <v>36</v>
      </c>
      <c r="G42" s="22">
        <v>46408</v>
      </c>
      <c r="H42" s="23" t="s">
        <v>57</v>
      </c>
      <c r="I42" s="24" t="s">
        <v>58</v>
      </c>
      <c r="J42" s="13" t="s">
        <v>39</v>
      </c>
      <c r="K42" s="14"/>
      <c r="L42" s="78" t="s">
        <v>40</v>
      </c>
      <c r="M42" s="13" t="s">
        <v>39</v>
      </c>
      <c r="N42" s="78" t="s">
        <v>40</v>
      </c>
      <c r="O42" s="13" t="s">
        <v>39</v>
      </c>
      <c r="P42" s="79" t="s">
        <v>41</v>
      </c>
      <c r="Q42" s="13" t="s">
        <v>39</v>
      </c>
      <c r="R42" s="14"/>
      <c r="S42" s="78" t="s">
        <v>40</v>
      </c>
      <c r="T42" s="25"/>
      <c r="U42" s="19"/>
      <c r="V42" s="26">
        <f t="shared" si="2"/>
        <v>0.25</v>
      </c>
      <c r="W42" s="27" t="str">
        <f t="shared" si="3"/>
        <v>CRITICO</v>
      </c>
      <c r="X42" s="18">
        <f t="shared" si="4"/>
        <v>4</v>
      </c>
      <c r="Y42" s="18">
        <f t="shared" si="1"/>
        <v>1</v>
      </c>
    </row>
    <row r="43" spans="1:25" ht="21.75" customHeight="1" x14ac:dyDescent="0.35">
      <c r="A43" s="5">
        <v>2025</v>
      </c>
      <c r="B43" s="73" t="s">
        <v>146</v>
      </c>
      <c r="C43" s="74" t="s">
        <v>147</v>
      </c>
      <c r="D43" s="8" t="s">
        <v>35</v>
      </c>
      <c r="E43" s="9" t="s">
        <v>36</v>
      </c>
      <c r="F43" s="77" t="s">
        <v>74</v>
      </c>
      <c r="G43" s="29"/>
      <c r="H43" s="11" t="s">
        <v>37</v>
      </c>
      <c r="I43" s="12"/>
      <c r="J43" s="13" t="s">
        <v>39</v>
      </c>
      <c r="K43" s="78" t="s">
        <v>40</v>
      </c>
      <c r="L43" s="78" t="s">
        <v>40</v>
      </c>
      <c r="M43" s="13" t="s">
        <v>39</v>
      </c>
      <c r="N43" s="13" t="s">
        <v>39</v>
      </c>
      <c r="O43" s="13" t="s">
        <v>39</v>
      </c>
      <c r="P43" s="78" t="s">
        <v>40</v>
      </c>
      <c r="Q43" s="13" t="s">
        <v>39</v>
      </c>
      <c r="R43" s="79" t="s">
        <v>41</v>
      </c>
      <c r="S43" s="13" t="s">
        <v>39</v>
      </c>
      <c r="T43" s="15" t="s">
        <v>148</v>
      </c>
      <c r="U43" s="30">
        <v>45975</v>
      </c>
      <c r="V43" s="26">
        <f t="shared" si="2"/>
        <v>0.25</v>
      </c>
      <c r="W43" s="27" t="str">
        <f t="shared" si="3"/>
        <v>CRITICO</v>
      </c>
      <c r="X43" s="18">
        <f t="shared" si="4"/>
        <v>4</v>
      </c>
      <c r="Y43" s="18">
        <f t="shared" si="1"/>
        <v>1</v>
      </c>
    </row>
    <row r="44" spans="1:25" ht="21.75" customHeight="1" x14ac:dyDescent="0.35">
      <c r="A44" s="19">
        <v>2025</v>
      </c>
      <c r="B44" s="75" t="s">
        <v>149</v>
      </c>
      <c r="C44" s="76" t="s">
        <v>150</v>
      </c>
      <c r="D44" s="20" t="s">
        <v>35</v>
      </c>
      <c r="E44" s="21" t="s">
        <v>36</v>
      </c>
      <c r="F44" s="77" t="s">
        <v>36</v>
      </c>
      <c r="G44" s="22">
        <v>46239</v>
      </c>
      <c r="H44" s="23" t="s">
        <v>49</v>
      </c>
      <c r="I44" s="24"/>
      <c r="J44" s="13" t="s">
        <v>39</v>
      </c>
      <c r="K44" s="14"/>
      <c r="L44" s="78" t="s">
        <v>40</v>
      </c>
      <c r="M44" s="13" t="s">
        <v>39</v>
      </c>
      <c r="N44" s="13" t="s">
        <v>39</v>
      </c>
      <c r="O44" s="13" t="s">
        <v>39</v>
      </c>
      <c r="P44" s="78" t="s">
        <v>40</v>
      </c>
      <c r="Q44" s="13" t="s">
        <v>39</v>
      </c>
      <c r="R44" s="14"/>
      <c r="S44" s="13" t="s">
        <v>39</v>
      </c>
      <c r="T44" s="25" t="s">
        <v>151</v>
      </c>
      <c r="U44" s="31">
        <v>45980</v>
      </c>
      <c r="V44" s="26">
        <f t="shared" si="2"/>
        <v>0</v>
      </c>
      <c r="W44" s="27" t="str">
        <f t="shared" si="3"/>
        <v>CRITICO</v>
      </c>
      <c r="X44" s="18">
        <f t="shared" ref="X44:X75" si="5">10-COUNTIF(J44:S44,"NO APLICA")-COUNTIF(J44:S44,"-")-COUNTIF(J44:S44,"")</f>
        <v>2</v>
      </c>
      <c r="Y44" s="18">
        <f t="shared" si="1"/>
        <v>0</v>
      </c>
    </row>
    <row r="45" spans="1:25" ht="21.75" customHeight="1" x14ac:dyDescent="0.35">
      <c r="A45" s="5">
        <v>2026</v>
      </c>
      <c r="B45" s="73" t="s">
        <v>152</v>
      </c>
      <c r="C45" s="74" t="s">
        <v>153</v>
      </c>
      <c r="D45" s="8" t="s">
        <v>154</v>
      </c>
      <c r="E45" s="9" t="s">
        <v>36</v>
      </c>
      <c r="F45" s="77" t="s">
        <v>74</v>
      </c>
      <c r="G45" s="29"/>
      <c r="H45" s="11" t="s">
        <v>49</v>
      </c>
      <c r="I45" s="12" t="s">
        <v>155</v>
      </c>
      <c r="J45" s="78" t="s">
        <v>40</v>
      </c>
      <c r="K45" s="78" t="s">
        <v>40</v>
      </c>
      <c r="L45" s="78" t="s">
        <v>40</v>
      </c>
      <c r="M45" s="13" t="s">
        <v>39</v>
      </c>
      <c r="N45" s="78" t="s">
        <v>40</v>
      </c>
      <c r="O45" s="78" t="s">
        <v>40</v>
      </c>
      <c r="P45" s="78" t="s">
        <v>40</v>
      </c>
      <c r="Q45" s="78" t="s">
        <v>40</v>
      </c>
      <c r="R45" s="79" t="s">
        <v>41</v>
      </c>
      <c r="S45" s="14"/>
      <c r="T45" s="15" t="s">
        <v>156</v>
      </c>
      <c r="U45" s="30">
        <v>45980</v>
      </c>
      <c r="V45" s="26">
        <f t="shared" si="2"/>
        <v>0.125</v>
      </c>
      <c r="W45" s="27" t="str">
        <f t="shared" si="3"/>
        <v>CRITICO</v>
      </c>
      <c r="X45" s="18">
        <f t="shared" si="5"/>
        <v>8</v>
      </c>
      <c r="Y45" s="18">
        <f t="shared" si="1"/>
        <v>1</v>
      </c>
    </row>
    <row r="46" spans="1:25" ht="21.75" customHeight="1" x14ac:dyDescent="0.35">
      <c r="A46" s="19">
        <v>2025</v>
      </c>
      <c r="B46" s="75" t="s">
        <v>157</v>
      </c>
      <c r="C46" s="76" t="s">
        <v>158</v>
      </c>
      <c r="D46" s="20" t="s">
        <v>35</v>
      </c>
      <c r="E46" s="21" t="s">
        <v>36</v>
      </c>
      <c r="F46" s="77" t="s">
        <v>74</v>
      </c>
      <c r="G46" s="28"/>
      <c r="H46" s="23" t="s">
        <v>37</v>
      </c>
      <c r="I46" s="24" t="s">
        <v>159</v>
      </c>
      <c r="J46" s="13" t="s">
        <v>39</v>
      </c>
      <c r="K46" s="78" t="s">
        <v>40</v>
      </c>
      <c r="L46" s="78" t="s">
        <v>40</v>
      </c>
      <c r="M46" s="13" t="s">
        <v>39</v>
      </c>
      <c r="N46" s="13" t="s">
        <v>39</v>
      </c>
      <c r="O46" s="13" t="s">
        <v>39</v>
      </c>
      <c r="P46" s="79" t="s">
        <v>41</v>
      </c>
      <c r="Q46" s="13" t="s">
        <v>39</v>
      </c>
      <c r="R46" s="79" t="s">
        <v>41</v>
      </c>
      <c r="S46" s="14"/>
      <c r="T46" s="25"/>
      <c r="U46" s="19"/>
      <c r="V46" s="26">
        <f t="shared" si="2"/>
        <v>0.5</v>
      </c>
      <c r="W46" s="27" t="str">
        <f t="shared" si="3"/>
        <v>ALERTA</v>
      </c>
      <c r="X46" s="18">
        <f t="shared" si="5"/>
        <v>4</v>
      </c>
      <c r="Y46" s="18">
        <f t="shared" si="1"/>
        <v>2</v>
      </c>
    </row>
    <row r="47" spans="1:25" ht="21.75" customHeight="1" x14ac:dyDescent="0.35">
      <c r="A47" s="5">
        <v>2025</v>
      </c>
      <c r="B47" s="73" t="s">
        <v>160</v>
      </c>
      <c r="C47" s="74" t="s">
        <v>161</v>
      </c>
      <c r="D47" s="8" t="s">
        <v>35</v>
      </c>
      <c r="E47" s="9" t="s">
        <v>36</v>
      </c>
      <c r="F47" s="77" t="s">
        <v>74</v>
      </c>
      <c r="G47" s="29"/>
      <c r="H47" s="11" t="s">
        <v>137</v>
      </c>
      <c r="I47" s="12"/>
      <c r="J47" s="13" t="s">
        <v>39</v>
      </c>
      <c r="K47" s="78" t="s">
        <v>40</v>
      </c>
      <c r="L47" s="78" t="s">
        <v>40</v>
      </c>
      <c r="M47" s="13" t="s">
        <v>39</v>
      </c>
      <c r="N47" s="13" t="s">
        <v>39</v>
      </c>
      <c r="O47" s="13" t="s">
        <v>39</v>
      </c>
      <c r="P47" s="78" t="s">
        <v>40</v>
      </c>
      <c r="Q47" s="13" t="s">
        <v>39</v>
      </c>
      <c r="R47" s="32" t="s">
        <v>162</v>
      </c>
      <c r="S47" s="14"/>
      <c r="T47" s="15" t="s">
        <v>163</v>
      </c>
      <c r="U47" s="30">
        <v>45980</v>
      </c>
      <c r="V47" s="26">
        <f t="shared" si="2"/>
        <v>0</v>
      </c>
      <c r="W47" s="27" t="str">
        <f t="shared" si="3"/>
        <v>CRITICO</v>
      </c>
      <c r="X47" s="18">
        <f t="shared" si="5"/>
        <v>4</v>
      </c>
      <c r="Y47" s="18">
        <f t="shared" si="1"/>
        <v>0</v>
      </c>
    </row>
    <row r="48" spans="1:25" ht="21.75" customHeight="1" x14ac:dyDescent="0.35">
      <c r="A48" s="19">
        <v>2025</v>
      </c>
      <c r="B48" s="75" t="s">
        <v>164</v>
      </c>
      <c r="C48" s="76" t="s">
        <v>165</v>
      </c>
      <c r="D48" s="20" t="s">
        <v>35</v>
      </c>
      <c r="E48" s="21" t="s">
        <v>120</v>
      </c>
      <c r="F48" s="77" t="s">
        <v>74</v>
      </c>
      <c r="G48" s="28"/>
      <c r="H48" s="23" t="s">
        <v>49</v>
      </c>
      <c r="I48" s="24" t="s">
        <v>155</v>
      </c>
      <c r="J48" s="13" t="s">
        <v>39</v>
      </c>
      <c r="K48" s="79" t="s">
        <v>41</v>
      </c>
      <c r="L48" s="78" t="s">
        <v>40</v>
      </c>
      <c r="M48" s="13" t="s">
        <v>39</v>
      </c>
      <c r="N48" s="13" t="s">
        <v>39</v>
      </c>
      <c r="O48" s="13" t="s">
        <v>39</v>
      </c>
      <c r="P48" s="79" t="s">
        <v>41</v>
      </c>
      <c r="Q48" s="79" t="s">
        <v>41</v>
      </c>
      <c r="R48" s="79" t="s">
        <v>41</v>
      </c>
      <c r="S48" s="13" t="s">
        <v>39</v>
      </c>
      <c r="T48" s="25" t="s">
        <v>166</v>
      </c>
      <c r="U48" s="31">
        <v>45980</v>
      </c>
      <c r="V48" s="26">
        <f t="shared" si="2"/>
        <v>0.8</v>
      </c>
      <c r="W48" s="27" t="str">
        <f t="shared" si="3"/>
        <v>ALERTA</v>
      </c>
      <c r="X48" s="18">
        <f t="shared" si="5"/>
        <v>5</v>
      </c>
      <c r="Y48" s="18">
        <f t="shared" si="1"/>
        <v>4</v>
      </c>
    </row>
    <row r="49" spans="1:25" ht="21.75" customHeight="1" x14ac:dyDescent="0.35">
      <c r="A49" s="5">
        <v>2025</v>
      </c>
      <c r="B49" s="73" t="s">
        <v>167</v>
      </c>
      <c r="C49" s="74" t="s">
        <v>168</v>
      </c>
      <c r="D49" s="8" t="s">
        <v>35</v>
      </c>
      <c r="E49" s="9" t="s">
        <v>36</v>
      </c>
      <c r="F49" s="77" t="s">
        <v>74</v>
      </c>
      <c r="G49" s="29"/>
      <c r="H49" s="11" t="s">
        <v>37</v>
      </c>
      <c r="I49" s="12"/>
      <c r="J49" s="13" t="s">
        <v>39</v>
      </c>
      <c r="K49" s="79" t="s">
        <v>41</v>
      </c>
      <c r="L49" s="78" t="s">
        <v>40</v>
      </c>
      <c r="M49" s="13" t="s">
        <v>39</v>
      </c>
      <c r="N49" s="13" t="s">
        <v>39</v>
      </c>
      <c r="O49" s="13" t="s">
        <v>39</v>
      </c>
      <c r="P49" s="79" t="s">
        <v>41</v>
      </c>
      <c r="Q49" s="13" t="s">
        <v>39</v>
      </c>
      <c r="R49" s="33" t="s">
        <v>169</v>
      </c>
      <c r="S49" s="13" t="s">
        <v>39</v>
      </c>
      <c r="T49" s="15" t="s">
        <v>170</v>
      </c>
      <c r="U49" s="30">
        <v>45975</v>
      </c>
      <c r="V49" s="26">
        <f t="shared" si="2"/>
        <v>0.66666666666666663</v>
      </c>
      <c r="W49" s="27" t="str">
        <f t="shared" si="3"/>
        <v>ALERTA</v>
      </c>
      <c r="X49" s="18">
        <f t="shared" si="5"/>
        <v>3</v>
      </c>
      <c r="Y49" s="18">
        <f t="shared" si="1"/>
        <v>2</v>
      </c>
    </row>
    <row r="50" spans="1:25" ht="21.75" customHeight="1" x14ac:dyDescent="0.35">
      <c r="A50" s="19">
        <v>2025</v>
      </c>
      <c r="B50" s="75" t="s">
        <v>171</v>
      </c>
      <c r="C50" s="76" t="s">
        <v>172</v>
      </c>
      <c r="D50" s="20" t="s">
        <v>35</v>
      </c>
      <c r="E50" s="21" t="s">
        <v>36</v>
      </c>
      <c r="F50" s="77" t="s">
        <v>74</v>
      </c>
      <c r="G50" s="28"/>
      <c r="H50" s="23" t="s">
        <v>37</v>
      </c>
      <c r="I50" s="24"/>
      <c r="J50" s="13" t="s">
        <v>39</v>
      </c>
      <c r="K50" s="79" t="s">
        <v>41</v>
      </c>
      <c r="L50" s="78" t="s">
        <v>40</v>
      </c>
      <c r="M50" s="13" t="s">
        <v>39</v>
      </c>
      <c r="N50" s="13" t="s">
        <v>39</v>
      </c>
      <c r="O50" s="13" t="s">
        <v>39</v>
      </c>
      <c r="P50" s="79" t="s">
        <v>41</v>
      </c>
      <c r="Q50" s="13" t="s">
        <v>39</v>
      </c>
      <c r="R50" s="33" t="s">
        <v>169</v>
      </c>
      <c r="S50" s="13" t="s">
        <v>39</v>
      </c>
      <c r="T50" s="25" t="s">
        <v>170</v>
      </c>
      <c r="U50" s="31">
        <v>45975</v>
      </c>
      <c r="V50" s="26">
        <f t="shared" si="2"/>
        <v>0.66666666666666663</v>
      </c>
      <c r="W50" s="27" t="str">
        <f t="shared" si="3"/>
        <v>ALERTA</v>
      </c>
      <c r="X50" s="18">
        <f t="shared" si="5"/>
        <v>3</v>
      </c>
      <c r="Y50" s="18">
        <f t="shared" si="1"/>
        <v>2</v>
      </c>
    </row>
    <row r="51" spans="1:25" ht="21.75" customHeight="1" x14ac:dyDescent="0.35">
      <c r="A51" s="5">
        <v>2025</v>
      </c>
      <c r="B51" s="73" t="s">
        <v>173</v>
      </c>
      <c r="C51" s="74" t="s">
        <v>174</v>
      </c>
      <c r="D51" s="8" t="s">
        <v>35</v>
      </c>
      <c r="E51" s="9" t="s">
        <v>36</v>
      </c>
      <c r="F51" s="77" t="s">
        <v>74</v>
      </c>
      <c r="G51" s="29"/>
      <c r="H51" s="11" t="s">
        <v>37</v>
      </c>
      <c r="I51" s="12"/>
      <c r="J51" s="13" t="s">
        <v>39</v>
      </c>
      <c r="K51" s="79" t="s">
        <v>41</v>
      </c>
      <c r="L51" s="78" t="s">
        <v>40</v>
      </c>
      <c r="M51" s="13" t="s">
        <v>39</v>
      </c>
      <c r="N51" s="13" t="s">
        <v>39</v>
      </c>
      <c r="O51" s="13" t="s">
        <v>39</v>
      </c>
      <c r="P51" s="79" t="s">
        <v>41</v>
      </c>
      <c r="Q51" s="13" t="s">
        <v>39</v>
      </c>
      <c r="R51" s="79" t="s">
        <v>41</v>
      </c>
      <c r="S51" s="13" t="s">
        <v>39</v>
      </c>
      <c r="T51" s="15" t="s">
        <v>170</v>
      </c>
      <c r="U51" s="30">
        <v>45975</v>
      </c>
      <c r="V51" s="26">
        <f t="shared" si="2"/>
        <v>0.75</v>
      </c>
      <c r="W51" s="27" t="str">
        <f t="shared" si="3"/>
        <v>ALERTA</v>
      </c>
      <c r="X51" s="18">
        <f t="shared" si="5"/>
        <v>4</v>
      </c>
      <c r="Y51" s="18">
        <f t="shared" si="1"/>
        <v>3</v>
      </c>
    </row>
    <row r="52" spans="1:25" ht="21.75" customHeight="1" x14ac:dyDescent="0.35">
      <c r="A52" s="19">
        <v>2025</v>
      </c>
      <c r="B52" s="75" t="s">
        <v>175</v>
      </c>
      <c r="C52" s="76" t="s">
        <v>176</v>
      </c>
      <c r="D52" s="20" t="s">
        <v>35</v>
      </c>
      <c r="E52" s="21" t="s">
        <v>53</v>
      </c>
      <c r="F52" s="77" t="s">
        <v>74</v>
      </c>
      <c r="G52" s="28"/>
      <c r="H52" s="23" t="s">
        <v>137</v>
      </c>
      <c r="I52" s="24" t="s">
        <v>177</v>
      </c>
      <c r="J52" s="13" t="s">
        <v>39</v>
      </c>
      <c r="K52" s="78" t="s">
        <v>40</v>
      </c>
      <c r="L52" s="78" t="s">
        <v>40</v>
      </c>
      <c r="M52" s="13" t="s">
        <v>39</v>
      </c>
      <c r="N52" s="78" t="s">
        <v>40</v>
      </c>
      <c r="O52" s="13" t="s">
        <v>39</v>
      </c>
      <c r="P52" s="78" t="s">
        <v>40</v>
      </c>
      <c r="Q52" s="13" t="s">
        <v>39</v>
      </c>
      <c r="R52" s="79" t="s">
        <v>41</v>
      </c>
      <c r="S52" s="14"/>
      <c r="T52" s="25" t="s">
        <v>178</v>
      </c>
      <c r="U52" s="19"/>
      <c r="V52" s="26">
        <f t="shared" si="2"/>
        <v>0.2</v>
      </c>
      <c r="W52" s="27" t="str">
        <f t="shared" si="3"/>
        <v>CRITICO</v>
      </c>
      <c r="X52" s="18">
        <f t="shared" si="5"/>
        <v>5</v>
      </c>
      <c r="Y52" s="18">
        <f t="shared" si="1"/>
        <v>1</v>
      </c>
    </row>
    <row r="53" spans="1:25" ht="21.75" customHeight="1" x14ac:dyDescent="0.35">
      <c r="A53" s="5">
        <v>2025</v>
      </c>
      <c r="B53" s="73" t="s">
        <v>179</v>
      </c>
      <c r="C53" s="74" t="s">
        <v>180</v>
      </c>
      <c r="D53" s="8" t="s">
        <v>35</v>
      </c>
      <c r="E53" s="9" t="s">
        <v>53</v>
      </c>
      <c r="F53" s="77" t="s">
        <v>74</v>
      </c>
      <c r="G53" s="29"/>
      <c r="H53" s="11" t="s">
        <v>137</v>
      </c>
      <c r="I53" s="12" t="s">
        <v>177</v>
      </c>
      <c r="J53" s="13" t="s">
        <v>39</v>
      </c>
      <c r="K53" s="78" t="s">
        <v>40</v>
      </c>
      <c r="L53" s="78" t="s">
        <v>40</v>
      </c>
      <c r="M53" s="13" t="s">
        <v>39</v>
      </c>
      <c r="N53" s="78" t="s">
        <v>40</v>
      </c>
      <c r="O53" s="13" t="s">
        <v>39</v>
      </c>
      <c r="P53" s="78" t="s">
        <v>40</v>
      </c>
      <c r="Q53" s="13" t="s">
        <v>39</v>
      </c>
      <c r="R53" s="79" t="s">
        <v>41</v>
      </c>
      <c r="S53" s="14"/>
      <c r="T53" s="15" t="s">
        <v>178</v>
      </c>
      <c r="U53" s="5"/>
      <c r="V53" s="26">
        <f t="shared" si="2"/>
        <v>0.2</v>
      </c>
      <c r="W53" s="27" t="str">
        <f t="shared" si="3"/>
        <v>CRITICO</v>
      </c>
      <c r="X53" s="18">
        <f t="shared" si="5"/>
        <v>5</v>
      </c>
      <c r="Y53" s="18">
        <f t="shared" si="1"/>
        <v>1</v>
      </c>
    </row>
    <row r="54" spans="1:25" ht="21.75" customHeight="1" x14ac:dyDescent="0.35">
      <c r="A54" s="19">
        <v>2026</v>
      </c>
      <c r="B54" s="75" t="s">
        <v>181</v>
      </c>
      <c r="C54" s="76" t="s">
        <v>182</v>
      </c>
      <c r="D54" s="20" t="s">
        <v>154</v>
      </c>
      <c r="E54" s="21" t="s">
        <v>120</v>
      </c>
      <c r="F54" s="77" t="s">
        <v>89</v>
      </c>
      <c r="G54" s="28"/>
      <c r="H54" s="23" t="s">
        <v>37</v>
      </c>
      <c r="I54" s="24"/>
      <c r="J54" s="78" t="s">
        <v>40</v>
      </c>
      <c r="K54" s="78" t="s">
        <v>40</v>
      </c>
      <c r="L54" s="78" t="s">
        <v>40</v>
      </c>
      <c r="M54" s="13" t="s">
        <v>39</v>
      </c>
      <c r="N54" s="13" t="s">
        <v>39</v>
      </c>
      <c r="O54" s="78" t="s">
        <v>40</v>
      </c>
      <c r="P54" s="79" t="s">
        <v>41</v>
      </c>
      <c r="Q54" s="79" t="s">
        <v>41</v>
      </c>
      <c r="R54" s="78" t="s">
        <v>40</v>
      </c>
      <c r="S54" s="14"/>
      <c r="T54" s="25" t="s">
        <v>183</v>
      </c>
      <c r="U54" s="19"/>
      <c r="V54" s="26">
        <f t="shared" si="2"/>
        <v>0.2857142857142857</v>
      </c>
      <c r="W54" s="27" t="str">
        <f t="shared" si="3"/>
        <v>CRITICO</v>
      </c>
      <c r="X54" s="18">
        <f t="shared" si="5"/>
        <v>7</v>
      </c>
      <c r="Y54" s="18">
        <f t="shared" si="1"/>
        <v>2</v>
      </c>
    </row>
    <row r="55" spans="1:25" ht="21.75" customHeight="1" x14ac:dyDescent="0.35">
      <c r="A55" s="5">
        <v>2025</v>
      </c>
      <c r="B55" s="73" t="s">
        <v>184</v>
      </c>
      <c r="C55" s="74" t="s">
        <v>185</v>
      </c>
      <c r="D55" s="8" t="s">
        <v>35</v>
      </c>
      <c r="E55" s="9" t="s">
        <v>36</v>
      </c>
      <c r="F55" s="77" t="s">
        <v>74</v>
      </c>
      <c r="G55" s="29"/>
      <c r="H55" s="11" t="s">
        <v>45</v>
      </c>
      <c r="I55" s="12" t="s">
        <v>186</v>
      </c>
      <c r="J55" s="13" t="s">
        <v>39</v>
      </c>
      <c r="K55" s="79" t="s">
        <v>41</v>
      </c>
      <c r="L55" s="78" t="s">
        <v>40</v>
      </c>
      <c r="M55" s="13" t="s">
        <v>39</v>
      </c>
      <c r="N55" s="13" t="s">
        <v>39</v>
      </c>
      <c r="O55" s="13" t="s">
        <v>39</v>
      </c>
      <c r="P55" s="79" t="s">
        <v>41</v>
      </c>
      <c r="Q55" s="79" t="s">
        <v>41</v>
      </c>
      <c r="R55" s="79" t="s">
        <v>41</v>
      </c>
      <c r="S55" s="14"/>
      <c r="T55" s="15" t="s">
        <v>187</v>
      </c>
      <c r="U55" s="30">
        <v>45978</v>
      </c>
      <c r="V55" s="26">
        <f t="shared" si="2"/>
        <v>0.8</v>
      </c>
      <c r="W55" s="27" t="str">
        <f t="shared" si="3"/>
        <v>ALERTA</v>
      </c>
      <c r="X55" s="18">
        <f t="shared" si="5"/>
        <v>5</v>
      </c>
      <c r="Y55" s="18">
        <f t="shared" si="1"/>
        <v>4</v>
      </c>
    </row>
    <row r="56" spans="1:25" ht="21.75" customHeight="1" x14ac:dyDescent="0.35">
      <c r="A56" s="19">
        <v>2025</v>
      </c>
      <c r="B56" s="75" t="s">
        <v>188</v>
      </c>
      <c r="C56" s="76" t="s">
        <v>189</v>
      </c>
      <c r="D56" s="20" t="s">
        <v>35</v>
      </c>
      <c r="E56" s="21" t="s">
        <v>36</v>
      </c>
      <c r="F56" s="77" t="s">
        <v>74</v>
      </c>
      <c r="G56" s="28"/>
      <c r="H56" s="23" t="s">
        <v>49</v>
      </c>
      <c r="I56" s="24" t="s">
        <v>190</v>
      </c>
      <c r="J56" s="13" t="s">
        <v>39</v>
      </c>
      <c r="K56" s="13" t="s">
        <v>39</v>
      </c>
      <c r="L56" s="78" t="s">
        <v>40</v>
      </c>
      <c r="M56" s="13" t="s">
        <v>39</v>
      </c>
      <c r="N56" s="13" t="s">
        <v>39</v>
      </c>
      <c r="O56" s="13" t="s">
        <v>39</v>
      </c>
      <c r="P56" s="78" t="s">
        <v>41</v>
      </c>
      <c r="Q56" s="13" t="s">
        <v>39</v>
      </c>
      <c r="R56" s="79" t="s">
        <v>41</v>
      </c>
      <c r="S56" s="13" t="s">
        <v>39</v>
      </c>
      <c r="T56" s="25" t="s">
        <v>691</v>
      </c>
      <c r="U56" s="81">
        <v>46177</v>
      </c>
      <c r="V56" s="26">
        <f t="shared" si="2"/>
        <v>0.66666666666666663</v>
      </c>
      <c r="W56" s="27" t="str">
        <f t="shared" si="3"/>
        <v>ALERTA</v>
      </c>
      <c r="X56" s="18">
        <f t="shared" si="5"/>
        <v>3</v>
      </c>
      <c r="Y56" s="18">
        <f t="shared" si="1"/>
        <v>2</v>
      </c>
    </row>
    <row r="57" spans="1:25" ht="21.75" customHeight="1" x14ac:dyDescent="0.35">
      <c r="A57" s="5">
        <v>2026</v>
      </c>
      <c r="B57" s="73" t="s">
        <v>191</v>
      </c>
      <c r="C57" s="74" t="s">
        <v>192</v>
      </c>
      <c r="D57" s="8" t="s">
        <v>86</v>
      </c>
      <c r="E57" s="9" t="s">
        <v>36</v>
      </c>
      <c r="F57" s="77" t="s">
        <v>36</v>
      </c>
      <c r="G57" s="10">
        <v>46177</v>
      </c>
      <c r="H57" s="11" t="s">
        <v>137</v>
      </c>
      <c r="I57" s="12" t="s">
        <v>193</v>
      </c>
      <c r="J57" s="78" t="s">
        <v>40</v>
      </c>
      <c r="K57" s="14"/>
      <c r="L57" s="78" t="s">
        <v>40</v>
      </c>
      <c r="M57" s="13" t="s">
        <v>39</v>
      </c>
      <c r="N57" s="13" t="s">
        <v>39</v>
      </c>
      <c r="O57" s="78" t="s">
        <v>40</v>
      </c>
      <c r="P57" s="79" t="s">
        <v>41</v>
      </c>
      <c r="Q57" s="79" t="s">
        <v>41</v>
      </c>
      <c r="R57" s="14"/>
      <c r="S57" s="13" t="s">
        <v>39</v>
      </c>
      <c r="T57" s="15"/>
      <c r="U57" s="5"/>
      <c r="V57" s="26">
        <f t="shared" si="2"/>
        <v>0.4</v>
      </c>
      <c r="W57" s="27" t="str">
        <f t="shared" si="3"/>
        <v>CRITICO</v>
      </c>
      <c r="X57" s="18">
        <f t="shared" si="5"/>
        <v>5</v>
      </c>
      <c r="Y57" s="18">
        <f t="shared" si="1"/>
        <v>2</v>
      </c>
    </row>
    <row r="58" spans="1:25" ht="21.75" customHeight="1" x14ac:dyDescent="0.35">
      <c r="A58" s="19">
        <v>2026</v>
      </c>
      <c r="B58" s="75" t="s">
        <v>194</v>
      </c>
      <c r="C58" s="76" t="s">
        <v>195</v>
      </c>
      <c r="D58" s="20" t="s">
        <v>86</v>
      </c>
      <c r="E58" s="21" t="s">
        <v>36</v>
      </c>
      <c r="F58" s="77" t="s">
        <v>36</v>
      </c>
      <c r="G58" s="22">
        <v>46188</v>
      </c>
      <c r="H58" s="23" t="s">
        <v>49</v>
      </c>
      <c r="I58" s="24" t="s">
        <v>196</v>
      </c>
      <c r="J58" s="78" t="s">
        <v>40</v>
      </c>
      <c r="K58" s="14"/>
      <c r="L58" s="78" t="s">
        <v>40</v>
      </c>
      <c r="M58" s="13" t="s">
        <v>39</v>
      </c>
      <c r="N58" s="14"/>
      <c r="O58" s="14"/>
      <c r="P58" s="79" t="s">
        <v>41</v>
      </c>
      <c r="Q58" s="79" t="s">
        <v>41</v>
      </c>
      <c r="R58" s="14"/>
      <c r="S58" s="13" t="s">
        <v>39</v>
      </c>
      <c r="T58" s="25" t="s">
        <v>197</v>
      </c>
      <c r="U58" s="31">
        <v>45980</v>
      </c>
      <c r="V58" s="26">
        <f t="shared" si="2"/>
        <v>0.5</v>
      </c>
      <c r="W58" s="27" t="str">
        <f t="shared" si="3"/>
        <v>ALERTA</v>
      </c>
      <c r="X58" s="18">
        <f t="shared" si="5"/>
        <v>4</v>
      </c>
      <c r="Y58" s="18">
        <f t="shared" si="1"/>
        <v>2</v>
      </c>
    </row>
    <row r="59" spans="1:25" ht="21.75" customHeight="1" x14ac:dyDescent="0.35">
      <c r="A59" s="5">
        <v>2025</v>
      </c>
      <c r="B59" s="73" t="s">
        <v>198</v>
      </c>
      <c r="C59" s="74" t="s">
        <v>199</v>
      </c>
      <c r="D59" s="8" t="s">
        <v>35</v>
      </c>
      <c r="E59" s="9" t="s">
        <v>200</v>
      </c>
      <c r="F59" s="77" t="s">
        <v>74</v>
      </c>
      <c r="G59" s="29"/>
      <c r="H59" s="11" t="s">
        <v>37</v>
      </c>
      <c r="I59" s="12" t="s">
        <v>201</v>
      </c>
      <c r="J59" s="13" t="s">
        <v>39</v>
      </c>
      <c r="K59" s="78" t="s">
        <v>40</v>
      </c>
      <c r="L59" s="78" t="s">
        <v>40</v>
      </c>
      <c r="M59" s="13" t="s">
        <v>39</v>
      </c>
      <c r="N59" s="13" t="s">
        <v>39</v>
      </c>
      <c r="O59" s="13" t="s">
        <v>39</v>
      </c>
      <c r="P59" s="79" t="s">
        <v>41</v>
      </c>
      <c r="Q59" s="13" t="s">
        <v>39</v>
      </c>
      <c r="R59" s="79" t="s">
        <v>41</v>
      </c>
      <c r="S59" s="13" t="s">
        <v>39</v>
      </c>
      <c r="T59" s="15" t="s">
        <v>202</v>
      </c>
      <c r="U59" s="5"/>
      <c r="V59" s="26">
        <f t="shared" si="2"/>
        <v>0.5</v>
      </c>
      <c r="W59" s="27" t="str">
        <f t="shared" si="3"/>
        <v>ALERTA</v>
      </c>
      <c r="X59" s="18">
        <f t="shared" si="5"/>
        <v>4</v>
      </c>
      <c r="Y59" s="18">
        <f t="shared" si="1"/>
        <v>2</v>
      </c>
    </row>
    <row r="60" spans="1:25" ht="21.75" customHeight="1" x14ac:dyDescent="0.35">
      <c r="A60" s="19">
        <v>2026</v>
      </c>
      <c r="B60" s="75" t="s">
        <v>203</v>
      </c>
      <c r="C60" s="76" t="s">
        <v>204</v>
      </c>
      <c r="D60" s="20" t="s">
        <v>35</v>
      </c>
      <c r="E60" s="21" t="s">
        <v>82</v>
      </c>
      <c r="F60" s="77" t="s">
        <v>82</v>
      </c>
      <c r="G60" s="28"/>
      <c r="H60" s="23" t="s">
        <v>45</v>
      </c>
      <c r="I60" s="24"/>
      <c r="J60" s="13" t="s">
        <v>39</v>
      </c>
      <c r="K60" s="14"/>
      <c r="L60" s="78" t="s">
        <v>40</v>
      </c>
      <c r="M60" s="13" t="s">
        <v>39</v>
      </c>
      <c r="N60" s="13" t="s">
        <v>39</v>
      </c>
      <c r="O60" s="13" t="s">
        <v>39</v>
      </c>
      <c r="P60" s="13" t="s">
        <v>39</v>
      </c>
      <c r="Q60" s="13" t="s">
        <v>39</v>
      </c>
      <c r="R60" s="14"/>
      <c r="S60" s="13" t="s">
        <v>39</v>
      </c>
      <c r="T60" s="25" t="s">
        <v>205</v>
      </c>
      <c r="U60" s="31">
        <v>45978</v>
      </c>
      <c r="V60" s="26">
        <f t="shared" si="2"/>
        <v>0</v>
      </c>
      <c r="W60" s="27" t="str">
        <f t="shared" si="3"/>
        <v>CRITICO</v>
      </c>
      <c r="X60" s="18">
        <f t="shared" si="5"/>
        <v>1</v>
      </c>
      <c r="Y60" s="18">
        <f t="shared" si="1"/>
        <v>0</v>
      </c>
    </row>
    <row r="61" spans="1:25" ht="21.75" customHeight="1" x14ac:dyDescent="0.35">
      <c r="A61" s="5">
        <v>2025</v>
      </c>
      <c r="B61" s="73" t="s">
        <v>206</v>
      </c>
      <c r="C61" s="74" t="s">
        <v>207</v>
      </c>
      <c r="D61" s="8" t="s">
        <v>48</v>
      </c>
      <c r="E61" s="9" t="s">
        <v>36</v>
      </c>
      <c r="F61" s="77" t="s">
        <v>74</v>
      </c>
      <c r="G61" s="29"/>
      <c r="H61" s="11" t="s">
        <v>49</v>
      </c>
      <c r="I61" s="12" t="s">
        <v>208</v>
      </c>
      <c r="J61" s="78" t="s">
        <v>40</v>
      </c>
      <c r="K61" s="78" t="s">
        <v>40</v>
      </c>
      <c r="L61" s="78" t="s">
        <v>40</v>
      </c>
      <c r="M61" s="13" t="s">
        <v>39</v>
      </c>
      <c r="N61" s="78" t="s">
        <v>40</v>
      </c>
      <c r="O61" s="78" t="s">
        <v>40</v>
      </c>
      <c r="P61" s="78" t="s">
        <v>40</v>
      </c>
      <c r="Q61" s="78" t="s">
        <v>40</v>
      </c>
      <c r="R61" s="79" t="s">
        <v>41</v>
      </c>
      <c r="S61" s="14"/>
      <c r="T61" s="15" t="s">
        <v>209</v>
      </c>
      <c r="U61" s="30">
        <v>45980</v>
      </c>
      <c r="V61" s="26">
        <f t="shared" si="2"/>
        <v>0.125</v>
      </c>
      <c r="W61" s="27" t="str">
        <f t="shared" si="3"/>
        <v>CRITICO</v>
      </c>
      <c r="X61" s="18">
        <f t="shared" si="5"/>
        <v>8</v>
      </c>
      <c r="Y61" s="18">
        <f t="shared" si="1"/>
        <v>1</v>
      </c>
    </row>
    <row r="62" spans="1:25" ht="21.75" customHeight="1" x14ac:dyDescent="0.35">
      <c r="A62" s="19">
        <v>2025</v>
      </c>
      <c r="B62" s="75" t="s">
        <v>210</v>
      </c>
      <c r="C62" s="76" t="s">
        <v>211</v>
      </c>
      <c r="D62" s="20" t="s">
        <v>35</v>
      </c>
      <c r="E62" s="21" t="s">
        <v>82</v>
      </c>
      <c r="F62" s="77" t="s">
        <v>74</v>
      </c>
      <c r="G62" s="28"/>
      <c r="H62" s="23" t="s">
        <v>37</v>
      </c>
      <c r="I62" s="24"/>
      <c r="J62" s="13" t="s">
        <v>39</v>
      </c>
      <c r="K62" s="78" t="s">
        <v>40</v>
      </c>
      <c r="L62" s="78" t="s">
        <v>40</v>
      </c>
      <c r="M62" s="13" t="s">
        <v>39</v>
      </c>
      <c r="N62" s="13" t="s">
        <v>39</v>
      </c>
      <c r="O62" s="13" t="s">
        <v>39</v>
      </c>
      <c r="P62" s="13" t="s">
        <v>39</v>
      </c>
      <c r="Q62" s="13" t="s">
        <v>39</v>
      </c>
      <c r="R62" s="79" t="s">
        <v>41</v>
      </c>
      <c r="S62" s="13" t="s">
        <v>39</v>
      </c>
      <c r="T62" s="25"/>
      <c r="U62" s="19"/>
      <c r="V62" s="26">
        <f t="shared" si="2"/>
        <v>0.33333333333333331</v>
      </c>
      <c r="W62" s="27" t="str">
        <f t="shared" si="3"/>
        <v>CRITICO</v>
      </c>
      <c r="X62" s="18">
        <f t="shared" si="5"/>
        <v>3</v>
      </c>
      <c r="Y62" s="18">
        <f t="shared" si="1"/>
        <v>1</v>
      </c>
    </row>
    <row r="63" spans="1:25" ht="21.75" customHeight="1" x14ac:dyDescent="0.35">
      <c r="A63" s="5">
        <v>2026</v>
      </c>
      <c r="B63" s="73" t="s">
        <v>212</v>
      </c>
      <c r="C63" s="74" t="s">
        <v>213</v>
      </c>
      <c r="D63" s="8" t="s">
        <v>35</v>
      </c>
      <c r="E63" s="9" t="s">
        <v>36</v>
      </c>
      <c r="F63" s="77" t="s">
        <v>74</v>
      </c>
      <c r="G63" s="29"/>
      <c r="H63" s="11" t="s">
        <v>49</v>
      </c>
      <c r="I63" s="12"/>
      <c r="J63" s="13" t="s">
        <v>39</v>
      </c>
      <c r="K63" s="79" t="s">
        <v>41</v>
      </c>
      <c r="L63" s="78" t="s">
        <v>40</v>
      </c>
      <c r="M63" s="13" t="s">
        <v>39</v>
      </c>
      <c r="N63" s="13" t="s">
        <v>39</v>
      </c>
      <c r="O63" s="13" t="s">
        <v>39</v>
      </c>
      <c r="P63" s="79" t="s">
        <v>41</v>
      </c>
      <c r="Q63" s="13" t="s">
        <v>39</v>
      </c>
      <c r="R63" s="79" t="s">
        <v>41</v>
      </c>
      <c r="S63" s="13" t="s">
        <v>39</v>
      </c>
      <c r="T63" s="15" t="s">
        <v>690</v>
      </c>
      <c r="U63" s="80">
        <v>46177</v>
      </c>
      <c r="V63" s="26">
        <f t="shared" si="2"/>
        <v>0.75</v>
      </c>
      <c r="W63" s="27" t="str">
        <f t="shared" si="3"/>
        <v>ALERTA</v>
      </c>
      <c r="X63" s="18">
        <f t="shared" si="5"/>
        <v>4</v>
      </c>
      <c r="Y63" s="18">
        <f t="shared" si="1"/>
        <v>3</v>
      </c>
    </row>
    <row r="64" spans="1:25" ht="21.75" customHeight="1" x14ac:dyDescent="0.35">
      <c r="A64" s="19">
        <v>2025</v>
      </c>
      <c r="B64" s="75" t="s">
        <v>214</v>
      </c>
      <c r="C64" s="76" t="s">
        <v>215</v>
      </c>
      <c r="D64" s="20" t="s">
        <v>35</v>
      </c>
      <c r="E64" s="21" t="s">
        <v>36</v>
      </c>
      <c r="F64" s="77" t="s">
        <v>74</v>
      </c>
      <c r="G64" s="28"/>
      <c r="H64" s="23" t="s">
        <v>37</v>
      </c>
      <c r="I64" s="24" t="s">
        <v>216</v>
      </c>
      <c r="J64" s="13" t="s">
        <v>39</v>
      </c>
      <c r="K64" s="79" t="s">
        <v>41</v>
      </c>
      <c r="L64" s="78" t="s">
        <v>40</v>
      </c>
      <c r="M64" s="13" t="s">
        <v>39</v>
      </c>
      <c r="N64" s="13" t="s">
        <v>39</v>
      </c>
      <c r="O64" s="13" t="s">
        <v>39</v>
      </c>
      <c r="P64" s="79" t="s">
        <v>41</v>
      </c>
      <c r="Q64" s="13" t="s">
        <v>39</v>
      </c>
      <c r="R64" s="79" t="s">
        <v>41</v>
      </c>
      <c r="S64" s="13" t="s">
        <v>39</v>
      </c>
      <c r="T64" s="25" t="s">
        <v>217</v>
      </c>
      <c r="U64" s="31">
        <v>45975</v>
      </c>
      <c r="V64" s="26">
        <f t="shared" si="2"/>
        <v>0.75</v>
      </c>
      <c r="W64" s="27" t="str">
        <f t="shared" si="3"/>
        <v>ALERTA</v>
      </c>
      <c r="X64" s="18">
        <f t="shared" si="5"/>
        <v>4</v>
      </c>
      <c r="Y64" s="18">
        <f t="shared" si="1"/>
        <v>3</v>
      </c>
    </row>
    <row r="65" spans="1:25" ht="21.75" customHeight="1" x14ac:dyDescent="0.35">
      <c r="A65" s="5">
        <v>2025</v>
      </c>
      <c r="B65" s="73" t="s">
        <v>218</v>
      </c>
      <c r="C65" s="74" t="s">
        <v>219</v>
      </c>
      <c r="D65" s="8" t="s">
        <v>35</v>
      </c>
      <c r="E65" s="9" t="s">
        <v>120</v>
      </c>
      <c r="F65" s="77" t="s">
        <v>74</v>
      </c>
      <c r="G65" s="29"/>
      <c r="H65" s="11" t="s">
        <v>49</v>
      </c>
      <c r="I65" s="12"/>
      <c r="J65" s="13" t="s">
        <v>39</v>
      </c>
      <c r="K65" s="79" t="s">
        <v>41</v>
      </c>
      <c r="L65" s="78" t="s">
        <v>41</v>
      </c>
      <c r="M65" s="13" t="s">
        <v>39</v>
      </c>
      <c r="N65" s="13" t="s">
        <v>39</v>
      </c>
      <c r="O65" s="13" t="s">
        <v>39</v>
      </c>
      <c r="P65" s="79" t="s">
        <v>41</v>
      </c>
      <c r="Q65" s="13" t="s">
        <v>39</v>
      </c>
      <c r="R65" s="79" t="s">
        <v>41</v>
      </c>
      <c r="S65" s="13" t="s">
        <v>39</v>
      </c>
      <c r="T65" s="15" t="s">
        <v>689</v>
      </c>
      <c r="U65" s="30">
        <v>45980</v>
      </c>
      <c r="V65" s="26">
        <f t="shared" si="2"/>
        <v>1</v>
      </c>
      <c r="W65" s="27" t="str">
        <f t="shared" si="3"/>
        <v>CONFORME</v>
      </c>
      <c r="X65" s="18">
        <f t="shared" si="5"/>
        <v>4</v>
      </c>
      <c r="Y65" s="18">
        <f t="shared" si="1"/>
        <v>4</v>
      </c>
    </row>
    <row r="66" spans="1:25" ht="21.75" customHeight="1" x14ac:dyDescent="0.35">
      <c r="A66" s="19">
        <v>2025</v>
      </c>
      <c r="B66" s="75" t="s">
        <v>220</v>
      </c>
      <c r="C66" s="76" t="s">
        <v>221</v>
      </c>
      <c r="D66" s="20" t="s">
        <v>35</v>
      </c>
      <c r="E66" s="21" t="s">
        <v>120</v>
      </c>
      <c r="F66" s="77" t="s">
        <v>74</v>
      </c>
      <c r="G66" s="28"/>
      <c r="H66" s="23" t="s">
        <v>49</v>
      </c>
      <c r="I66" s="24"/>
      <c r="J66" s="13" t="s">
        <v>39</v>
      </c>
      <c r="K66" s="79" t="s">
        <v>41</v>
      </c>
      <c r="L66" s="78" t="s">
        <v>40</v>
      </c>
      <c r="M66" s="13" t="s">
        <v>39</v>
      </c>
      <c r="N66" s="13" t="s">
        <v>39</v>
      </c>
      <c r="O66" s="13" t="s">
        <v>39</v>
      </c>
      <c r="P66" s="79" t="s">
        <v>41</v>
      </c>
      <c r="Q66" s="79" t="s">
        <v>41</v>
      </c>
      <c r="R66" s="79" t="s">
        <v>41</v>
      </c>
      <c r="S66" s="13" t="s">
        <v>39</v>
      </c>
      <c r="T66" s="25" t="s">
        <v>222</v>
      </c>
      <c r="U66" s="19"/>
      <c r="V66" s="26">
        <f t="shared" si="2"/>
        <v>0.8</v>
      </c>
      <c r="W66" s="27" t="str">
        <f t="shared" si="3"/>
        <v>ALERTA</v>
      </c>
      <c r="X66" s="18">
        <f t="shared" si="5"/>
        <v>5</v>
      </c>
      <c r="Y66" s="18">
        <f t="shared" si="1"/>
        <v>4</v>
      </c>
    </row>
    <row r="67" spans="1:25" ht="21.75" customHeight="1" x14ac:dyDescent="0.35">
      <c r="A67" s="5">
        <v>2025</v>
      </c>
      <c r="B67" s="73" t="s">
        <v>223</v>
      </c>
      <c r="C67" s="74" t="s">
        <v>224</v>
      </c>
      <c r="D67" s="8" t="s">
        <v>35</v>
      </c>
      <c r="E67" s="9" t="s">
        <v>36</v>
      </c>
      <c r="F67" s="77" t="s">
        <v>74</v>
      </c>
      <c r="G67" s="29"/>
      <c r="H67" s="11" t="s">
        <v>49</v>
      </c>
      <c r="I67" s="12" t="s">
        <v>225</v>
      </c>
      <c r="J67" s="13" t="s">
        <v>39</v>
      </c>
      <c r="K67" s="78" t="s">
        <v>40</v>
      </c>
      <c r="L67" s="78" t="s">
        <v>283</v>
      </c>
      <c r="M67" s="13" t="s">
        <v>39</v>
      </c>
      <c r="N67" s="13" t="s">
        <v>39</v>
      </c>
      <c r="O67" s="13" t="s">
        <v>39</v>
      </c>
      <c r="P67" s="79" t="s">
        <v>41</v>
      </c>
      <c r="Q67" s="13" t="s">
        <v>39</v>
      </c>
      <c r="R67" s="79" t="s">
        <v>41</v>
      </c>
      <c r="S67" s="13" t="s">
        <v>39</v>
      </c>
      <c r="T67" s="15" t="s">
        <v>688</v>
      </c>
      <c r="U67" s="80">
        <v>46177</v>
      </c>
      <c r="V67" s="26">
        <f t="shared" si="2"/>
        <v>0.625</v>
      </c>
      <c r="W67" s="27" t="str">
        <f t="shared" si="3"/>
        <v>ALERTA</v>
      </c>
      <c r="X67" s="18">
        <f t="shared" si="5"/>
        <v>4</v>
      </c>
      <c r="Y67" s="18">
        <f t="shared" si="1"/>
        <v>2.5</v>
      </c>
    </row>
    <row r="68" spans="1:25" ht="21.75" customHeight="1" x14ac:dyDescent="0.35">
      <c r="A68" s="19">
        <v>2025</v>
      </c>
      <c r="B68" s="75" t="s">
        <v>226</v>
      </c>
      <c r="C68" s="76" t="s">
        <v>227</v>
      </c>
      <c r="D68" s="20" t="s">
        <v>35</v>
      </c>
      <c r="E68" s="21" t="s">
        <v>36</v>
      </c>
      <c r="F68" s="77" t="s">
        <v>74</v>
      </c>
      <c r="G68" s="28"/>
      <c r="H68" s="23" t="s">
        <v>228</v>
      </c>
      <c r="I68" s="24"/>
      <c r="J68" s="13" t="s">
        <v>39</v>
      </c>
      <c r="K68" s="78" t="s">
        <v>40</v>
      </c>
      <c r="L68" s="78" t="s">
        <v>40</v>
      </c>
      <c r="M68" s="13" t="s">
        <v>39</v>
      </c>
      <c r="N68" s="13" t="s">
        <v>39</v>
      </c>
      <c r="O68" s="13" t="s">
        <v>39</v>
      </c>
      <c r="P68" s="79" t="s">
        <v>41</v>
      </c>
      <c r="Q68" s="13" t="s">
        <v>39</v>
      </c>
      <c r="R68" s="79" t="s">
        <v>41</v>
      </c>
      <c r="S68" s="13" t="s">
        <v>39</v>
      </c>
      <c r="T68" s="25" t="s">
        <v>229</v>
      </c>
      <c r="U68" s="31">
        <v>45980</v>
      </c>
      <c r="V68" s="26">
        <f t="shared" si="2"/>
        <v>0.5</v>
      </c>
      <c r="W68" s="27" t="str">
        <f t="shared" si="3"/>
        <v>ALERTA</v>
      </c>
      <c r="X68" s="18">
        <f t="shared" si="5"/>
        <v>4</v>
      </c>
      <c r="Y68" s="18">
        <f t="shared" si="1"/>
        <v>2</v>
      </c>
    </row>
    <row r="69" spans="1:25" ht="21.75" customHeight="1" x14ac:dyDescent="0.35">
      <c r="A69" s="5">
        <v>2025</v>
      </c>
      <c r="B69" s="73" t="s">
        <v>230</v>
      </c>
      <c r="C69" s="74" t="s">
        <v>231</v>
      </c>
      <c r="D69" s="8" t="s">
        <v>35</v>
      </c>
      <c r="E69" s="9" t="s">
        <v>120</v>
      </c>
      <c r="F69" s="77" t="s">
        <v>74</v>
      </c>
      <c r="G69" s="29"/>
      <c r="H69" s="11" t="s">
        <v>49</v>
      </c>
      <c r="I69" s="12"/>
      <c r="J69" s="13" t="s">
        <v>39</v>
      </c>
      <c r="K69" s="79" t="s">
        <v>41</v>
      </c>
      <c r="L69" s="78" t="s">
        <v>40</v>
      </c>
      <c r="M69" s="13" t="s">
        <v>39</v>
      </c>
      <c r="N69" s="13" t="s">
        <v>39</v>
      </c>
      <c r="O69" s="13" t="s">
        <v>39</v>
      </c>
      <c r="P69" s="79" t="s">
        <v>41</v>
      </c>
      <c r="Q69" s="79" t="s">
        <v>41</v>
      </c>
      <c r="R69" s="79" t="s">
        <v>41</v>
      </c>
      <c r="S69" s="13" t="s">
        <v>39</v>
      </c>
      <c r="T69" s="15" t="s">
        <v>232</v>
      </c>
      <c r="U69" s="30">
        <v>45798</v>
      </c>
      <c r="V69" s="26">
        <f t="shared" si="2"/>
        <v>0.8</v>
      </c>
      <c r="W69" s="27" t="str">
        <f t="shared" si="3"/>
        <v>ALERTA</v>
      </c>
      <c r="X69" s="18">
        <f t="shared" si="5"/>
        <v>5</v>
      </c>
      <c r="Y69" s="18">
        <f t="shared" si="1"/>
        <v>4</v>
      </c>
    </row>
    <row r="70" spans="1:25" ht="21.75" customHeight="1" x14ac:dyDescent="0.35">
      <c r="A70" s="19">
        <v>2026</v>
      </c>
      <c r="B70" s="75" t="s">
        <v>233</v>
      </c>
      <c r="C70" s="76" t="s">
        <v>234</v>
      </c>
      <c r="D70" s="20" t="s">
        <v>35</v>
      </c>
      <c r="E70" s="21" t="s">
        <v>120</v>
      </c>
      <c r="F70" s="77" t="s">
        <v>101</v>
      </c>
      <c r="G70" s="28"/>
      <c r="H70" s="23" t="s">
        <v>49</v>
      </c>
      <c r="I70" s="24"/>
      <c r="J70" s="13" t="s">
        <v>39</v>
      </c>
      <c r="K70" s="13" t="s">
        <v>39</v>
      </c>
      <c r="L70" s="78" t="s">
        <v>40</v>
      </c>
      <c r="M70" s="13" t="s">
        <v>39</v>
      </c>
      <c r="N70" s="13" t="s">
        <v>39</v>
      </c>
      <c r="O70" s="13" t="s">
        <v>39</v>
      </c>
      <c r="P70" s="13" t="s">
        <v>39</v>
      </c>
      <c r="Q70" s="13" t="s">
        <v>39</v>
      </c>
      <c r="R70" s="13" t="s">
        <v>39</v>
      </c>
      <c r="S70" s="13" t="s">
        <v>39</v>
      </c>
      <c r="T70" s="25" t="s">
        <v>235</v>
      </c>
      <c r="U70" s="31">
        <v>45980</v>
      </c>
      <c r="V70" s="26">
        <f t="shared" si="2"/>
        <v>0</v>
      </c>
      <c r="W70" s="27" t="str">
        <f t="shared" si="3"/>
        <v>CRITICO</v>
      </c>
      <c r="X70" s="18">
        <f t="shared" si="5"/>
        <v>1</v>
      </c>
      <c r="Y70" s="18">
        <f t="shared" ref="Y70:Y133" si="6">COUNTIF(J70:S70,"OK")+COUNTIF(J70:S70,"EN PROCESO")*0.5</f>
        <v>0</v>
      </c>
    </row>
    <row r="71" spans="1:25" ht="21.75" customHeight="1" x14ac:dyDescent="0.35">
      <c r="A71" s="5">
        <v>2026</v>
      </c>
      <c r="B71" s="73" t="s">
        <v>236</v>
      </c>
      <c r="C71" s="74" t="s">
        <v>237</v>
      </c>
      <c r="D71" s="8" t="s">
        <v>35</v>
      </c>
      <c r="E71" s="9" t="s">
        <v>238</v>
      </c>
      <c r="F71" s="77" t="s">
        <v>74</v>
      </c>
      <c r="G71" s="29"/>
      <c r="H71" s="11" t="s">
        <v>137</v>
      </c>
      <c r="I71" s="12"/>
      <c r="J71" s="13" t="s">
        <v>39</v>
      </c>
      <c r="K71" s="78" t="s">
        <v>40</v>
      </c>
      <c r="L71" s="78" t="s">
        <v>40</v>
      </c>
      <c r="M71" s="13" t="s">
        <v>39</v>
      </c>
      <c r="N71" s="13" t="s">
        <v>39</v>
      </c>
      <c r="O71" s="13" t="s">
        <v>39</v>
      </c>
      <c r="P71" s="78" t="s">
        <v>40</v>
      </c>
      <c r="Q71" s="79" t="s">
        <v>41</v>
      </c>
      <c r="R71" s="14"/>
      <c r="S71" s="13" t="s">
        <v>39</v>
      </c>
      <c r="T71" s="15" t="s">
        <v>239</v>
      </c>
      <c r="U71" s="30">
        <v>45807</v>
      </c>
      <c r="V71" s="26">
        <f t="shared" si="2"/>
        <v>0.25</v>
      </c>
      <c r="W71" s="27" t="str">
        <f t="shared" si="3"/>
        <v>CRITICO</v>
      </c>
      <c r="X71" s="18">
        <f t="shared" si="5"/>
        <v>4</v>
      </c>
      <c r="Y71" s="18">
        <f t="shared" si="6"/>
        <v>1</v>
      </c>
    </row>
    <row r="72" spans="1:25" ht="21.75" customHeight="1" x14ac:dyDescent="0.35">
      <c r="A72" s="19">
        <v>2025</v>
      </c>
      <c r="B72" s="75" t="s">
        <v>240</v>
      </c>
      <c r="C72" s="76" t="s">
        <v>241</v>
      </c>
      <c r="D72" s="20" t="s">
        <v>35</v>
      </c>
      <c r="E72" s="21" t="s">
        <v>36</v>
      </c>
      <c r="F72" s="77" t="s">
        <v>74</v>
      </c>
      <c r="G72" s="28"/>
      <c r="H72" s="23" t="s">
        <v>37</v>
      </c>
      <c r="I72" s="24" t="s">
        <v>242</v>
      </c>
      <c r="J72" s="13" t="s">
        <v>39</v>
      </c>
      <c r="K72" s="79" t="s">
        <v>41</v>
      </c>
      <c r="L72" s="78" t="s">
        <v>40</v>
      </c>
      <c r="M72" s="13" t="s">
        <v>39</v>
      </c>
      <c r="N72" s="13" t="s">
        <v>39</v>
      </c>
      <c r="O72" s="13" t="s">
        <v>39</v>
      </c>
      <c r="P72" s="79" t="s">
        <v>41</v>
      </c>
      <c r="Q72" s="13" t="s">
        <v>39</v>
      </c>
      <c r="R72" s="79" t="s">
        <v>41</v>
      </c>
      <c r="S72" s="13" t="s">
        <v>39</v>
      </c>
      <c r="T72" s="25"/>
      <c r="U72" s="31">
        <v>45975</v>
      </c>
      <c r="V72" s="26">
        <f t="shared" ref="V72:V135" si="7">IFERROR((COUNTIF(J72:S72,"OK")+COUNTIF(J72:S72,"EN PROCESO")*0.5)/(10-COUNTIF(J72:S72,"NO APLICA")-COUNTIF(J72:S72,"DESCARTADA")-COUNTIF(J72:S72,"-")-COUNTIF(J72:S72,"")),"")</f>
        <v>0.75</v>
      </c>
      <c r="W72" s="27" t="str">
        <f t="shared" ref="W72:W135" si="8">IF(ISNUMBER(V72),IF(V72&gt;=0.9,"CONFORME",IF(V72&gt;=0.5,"ALERTA","CRITICO")),IF(F72="CANCELADO","CANCELADO",IF(F72="STAND BY","STAND BY",IF(F72="DESCARTADO","DESCARTADO","S/D"))))</f>
        <v>ALERTA</v>
      </c>
      <c r="X72" s="18">
        <f t="shared" si="5"/>
        <v>4</v>
      </c>
      <c r="Y72" s="18">
        <f t="shared" si="6"/>
        <v>3</v>
      </c>
    </row>
    <row r="73" spans="1:25" ht="21.75" customHeight="1" x14ac:dyDescent="0.35">
      <c r="A73" s="5">
        <v>2025</v>
      </c>
      <c r="B73" s="73" t="s">
        <v>243</v>
      </c>
      <c r="C73" s="74" t="s">
        <v>244</v>
      </c>
      <c r="D73" s="8" t="s">
        <v>35</v>
      </c>
      <c r="E73" s="9" t="s">
        <v>36</v>
      </c>
      <c r="F73" s="77" t="s">
        <v>74</v>
      </c>
      <c r="G73" s="29"/>
      <c r="H73" s="11" t="s">
        <v>245</v>
      </c>
      <c r="I73" s="12"/>
      <c r="J73" s="13" t="s">
        <v>39</v>
      </c>
      <c r="K73" s="13" t="s">
        <v>39</v>
      </c>
      <c r="L73" s="78" t="s">
        <v>40</v>
      </c>
      <c r="M73" s="13" t="s">
        <v>39</v>
      </c>
      <c r="N73" s="13" t="s">
        <v>39</v>
      </c>
      <c r="O73" s="13" t="s">
        <v>39</v>
      </c>
      <c r="P73" s="78" t="s">
        <v>40</v>
      </c>
      <c r="Q73" s="13" t="s">
        <v>39</v>
      </c>
      <c r="R73" s="13" t="s">
        <v>39</v>
      </c>
      <c r="S73" s="13" t="s">
        <v>39</v>
      </c>
      <c r="T73" s="15" t="s">
        <v>246</v>
      </c>
      <c r="U73" s="30">
        <v>45840</v>
      </c>
      <c r="V73" s="26">
        <f t="shared" si="7"/>
        <v>0</v>
      </c>
      <c r="W73" s="27" t="str">
        <f t="shared" si="8"/>
        <v>CRITICO</v>
      </c>
      <c r="X73" s="18">
        <f t="shared" si="5"/>
        <v>2</v>
      </c>
      <c r="Y73" s="18">
        <f t="shared" si="6"/>
        <v>0</v>
      </c>
    </row>
    <row r="74" spans="1:25" ht="21.75" customHeight="1" x14ac:dyDescent="0.35">
      <c r="A74" s="19">
        <v>2026</v>
      </c>
      <c r="B74" s="75" t="s">
        <v>247</v>
      </c>
      <c r="C74" s="76" t="s">
        <v>248</v>
      </c>
      <c r="D74" s="20" t="s">
        <v>86</v>
      </c>
      <c r="E74" s="21" t="s">
        <v>36</v>
      </c>
      <c r="F74" s="77" t="s">
        <v>36</v>
      </c>
      <c r="G74" s="22">
        <v>46203</v>
      </c>
      <c r="H74" s="23" t="s">
        <v>37</v>
      </c>
      <c r="I74" s="24" t="s">
        <v>216</v>
      </c>
      <c r="J74" s="78" t="s">
        <v>40</v>
      </c>
      <c r="K74" s="14"/>
      <c r="L74" s="78" t="s">
        <v>40</v>
      </c>
      <c r="M74" s="13" t="s">
        <v>39</v>
      </c>
      <c r="N74" s="14"/>
      <c r="O74" s="14"/>
      <c r="P74" s="79" t="s">
        <v>41</v>
      </c>
      <c r="Q74" s="78" t="s">
        <v>40</v>
      </c>
      <c r="R74" s="14"/>
      <c r="S74" s="13" t="s">
        <v>39</v>
      </c>
      <c r="T74" s="25"/>
      <c r="U74" s="31">
        <v>45819</v>
      </c>
      <c r="V74" s="26">
        <f t="shared" si="7"/>
        <v>0.25</v>
      </c>
      <c r="W74" s="27" t="str">
        <f t="shared" si="8"/>
        <v>CRITICO</v>
      </c>
      <c r="X74" s="18">
        <f t="shared" si="5"/>
        <v>4</v>
      </c>
      <c r="Y74" s="18">
        <f t="shared" si="6"/>
        <v>1</v>
      </c>
    </row>
    <row r="75" spans="1:25" ht="21.75" customHeight="1" x14ac:dyDescent="0.35">
      <c r="A75" s="5">
        <v>2025</v>
      </c>
      <c r="B75" s="73" t="s">
        <v>249</v>
      </c>
      <c r="C75" s="74" t="s">
        <v>250</v>
      </c>
      <c r="D75" s="8" t="s">
        <v>35</v>
      </c>
      <c r="E75" s="9" t="s">
        <v>36</v>
      </c>
      <c r="F75" s="77" t="s">
        <v>74</v>
      </c>
      <c r="G75" s="29"/>
      <c r="H75" s="11" t="s">
        <v>37</v>
      </c>
      <c r="I75" s="12" t="s">
        <v>242</v>
      </c>
      <c r="J75" s="13" t="s">
        <v>39</v>
      </c>
      <c r="K75" s="32" t="s">
        <v>162</v>
      </c>
      <c r="L75" s="79" t="s">
        <v>41</v>
      </c>
      <c r="M75" s="13" t="s">
        <v>39</v>
      </c>
      <c r="N75" s="13" t="s">
        <v>39</v>
      </c>
      <c r="O75" s="13" t="s">
        <v>39</v>
      </c>
      <c r="P75" s="79" t="s">
        <v>41</v>
      </c>
      <c r="Q75" s="13" t="s">
        <v>39</v>
      </c>
      <c r="R75" s="79" t="s">
        <v>41</v>
      </c>
      <c r="S75" s="13" t="s">
        <v>39</v>
      </c>
      <c r="T75" s="15" t="s">
        <v>251</v>
      </c>
      <c r="U75" s="30">
        <v>45975</v>
      </c>
      <c r="V75" s="26">
        <f t="shared" si="7"/>
        <v>1</v>
      </c>
      <c r="W75" s="27" t="str">
        <f t="shared" si="8"/>
        <v>CONFORME</v>
      </c>
      <c r="X75" s="18">
        <f t="shared" si="5"/>
        <v>4</v>
      </c>
      <c r="Y75" s="18">
        <f t="shared" si="6"/>
        <v>3</v>
      </c>
    </row>
    <row r="76" spans="1:25" ht="21.75" customHeight="1" x14ac:dyDescent="0.35">
      <c r="A76" s="19">
        <v>2026</v>
      </c>
      <c r="B76" s="75" t="s">
        <v>252</v>
      </c>
      <c r="C76" s="76" t="s">
        <v>253</v>
      </c>
      <c r="D76" s="20" t="s">
        <v>35</v>
      </c>
      <c r="E76" s="21" t="s">
        <v>145</v>
      </c>
      <c r="F76" s="77" t="s">
        <v>89</v>
      </c>
      <c r="G76" s="28"/>
      <c r="H76" s="23" t="s">
        <v>57</v>
      </c>
      <c r="I76" s="24"/>
      <c r="J76" s="13" t="s">
        <v>39</v>
      </c>
      <c r="K76" s="78" t="s">
        <v>40</v>
      </c>
      <c r="L76" s="78" t="s">
        <v>40</v>
      </c>
      <c r="M76" s="78" t="s">
        <v>40</v>
      </c>
      <c r="N76" s="78" t="s">
        <v>40</v>
      </c>
      <c r="O76" s="13" t="s">
        <v>39</v>
      </c>
      <c r="P76" s="79" t="s">
        <v>41</v>
      </c>
      <c r="Q76" s="13" t="s">
        <v>39</v>
      </c>
      <c r="R76" s="78" t="s">
        <v>40</v>
      </c>
      <c r="S76" s="78" t="s">
        <v>40</v>
      </c>
      <c r="T76" s="25" t="s">
        <v>254</v>
      </c>
      <c r="U76" s="31">
        <v>45798</v>
      </c>
      <c r="V76" s="26">
        <f t="shared" si="7"/>
        <v>0.14285714285714285</v>
      </c>
      <c r="W76" s="27" t="str">
        <f t="shared" si="8"/>
        <v>CRITICO</v>
      </c>
      <c r="X76" s="18">
        <f t="shared" ref="X76:X107" si="9">10-COUNTIF(J76:S76,"NO APLICA")-COUNTIF(J76:S76,"-")-COUNTIF(J76:S76,"")</f>
        <v>7</v>
      </c>
      <c r="Y76" s="18">
        <f t="shared" si="6"/>
        <v>1</v>
      </c>
    </row>
    <row r="77" spans="1:25" ht="21.75" customHeight="1" x14ac:dyDescent="0.35">
      <c r="A77" s="5">
        <v>2026</v>
      </c>
      <c r="B77" s="73" t="s">
        <v>255</v>
      </c>
      <c r="C77" s="74" t="s">
        <v>256</v>
      </c>
      <c r="D77" s="8" t="s">
        <v>86</v>
      </c>
      <c r="E77" s="9" t="s">
        <v>120</v>
      </c>
      <c r="F77" s="77" t="s">
        <v>36</v>
      </c>
      <c r="G77" s="10">
        <v>46432</v>
      </c>
      <c r="H77" s="11" t="s">
        <v>37</v>
      </c>
      <c r="I77" s="12" t="s">
        <v>257</v>
      </c>
      <c r="J77" s="34" t="s">
        <v>283</v>
      </c>
      <c r="K77" s="14"/>
      <c r="L77" s="78" t="s">
        <v>40</v>
      </c>
      <c r="M77" s="13" t="s">
        <v>39</v>
      </c>
      <c r="N77" s="14"/>
      <c r="O77" s="14"/>
      <c r="P77" s="79" t="s">
        <v>41</v>
      </c>
      <c r="Q77" s="79" t="s">
        <v>41</v>
      </c>
      <c r="R77" s="14"/>
      <c r="S77" s="13" t="s">
        <v>39</v>
      </c>
      <c r="T77" s="15" t="s">
        <v>258</v>
      </c>
      <c r="U77" s="30">
        <v>45819</v>
      </c>
      <c r="V77" s="26">
        <f t="shared" si="7"/>
        <v>0.625</v>
      </c>
      <c r="W77" s="27" t="str">
        <f t="shared" si="8"/>
        <v>ALERTA</v>
      </c>
      <c r="X77" s="18">
        <f t="shared" si="9"/>
        <v>4</v>
      </c>
      <c r="Y77" s="18">
        <f t="shared" si="6"/>
        <v>2.5</v>
      </c>
    </row>
    <row r="78" spans="1:25" ht="21.75" customHeight="1" x14ac:dyDescent="0.35">
      <c r="A78" s="19">
        <v>2025</v>
      </c>
      <c r="B78" s="75" t="s">
        <v>259</v>
      </c>
      <c r="C78" s="76" t="s">
        <v>260</v>
      </c>
      <c r="D78" s="20" t="s">
        <v>35</v>
      </c>
      <c r="E78" s="21" t="s">
        <v>36</v>
      </c>
      <c r="F78" s="77" t="s">
        <v>74</v>
      </c>
      <c r="G78" s="28"/>
      <c r="H78" s="23" t="s">
        <v>37</v>
      </c>
      <c r="I78" s="24" t="s">
        <v>261</v>
      </c>
      <c r="J78" s="13" t="s">
        <v>39</v>
      </c>
      <c r="K78" s="32" t="s">
        <v>162</v>
      </c>
      <c r="L78" s="79" t="s">
        <v>41</v>
      </c>
      <c r="M78" s="13" t="s">
        <v>39</v>
      </c>
      <c r="N78" s="13" t="s">
        <v>39</v>
      </c>
      <c r="O78" s="13" t="s">
        <v>39</v>
      </c>
      <c r="P78" s="79" t="s">
        <v>41</v>
      </c>
      <c r="Q78" s="13" t="s">
        <v>39</v>
      </c>
      <c r="R78" s="79" t="s">
        <v>41</v>
      </c>
      <c r="S78" s="13" t="s">
        <v>39</v>
      </c>
      <c r="T78" s="25" t="s">
        <v>262</v>
      </c>
      <c r="U78" s="31">
        <v>45975</v>
      </c>
      <c r="V78" s="26">
        <f t="shared" si="7"/>
        <v>1</v>
      </c>
      <c r="W78" s="27" t="str">
        <f t="shared" si="8"/>
        <v>CONFORME</v>
      </c>
      <c r="X78" s="18">
        <f t="shared" si="9"/>
        <v>4</v>
      </c>
      <c r="Y78" s="18">
        <f t="shared" si="6"/>
        <v>3</v>
      </c>
    </row>
    <row r="79" spans="1:25" ht="21.75" customHeight="1" x14ac:dyDescent="0.35">
      <c r="A79" s="5">
        <v>2025</v>
      </c>
      <c r="B79" s="73" t="s">
        <v>263</v>
      </c>
      <c r="C79" s="74" t="s">
        <v>264</v>
      </c>
      <c r="D79" s="8" t="s">
        <v>35</v>
      </c>
      <c r="E79" s="9" t="s">
        <v>53</v>
      </c>
      <c r="F79" s="77" t="s">
        <v>74</v>
      </c>
      <c r="G79" s="29"/>
      <c r="H79" s="11" t="s">
        <v>37</v>
      </c>
      <c r="I79" s="12"/>
      <c r="J79" s="13" t="s">
        <v>39</v>
      </c>
      <c r="K79" s="13" t="s">
        <v>39</v>
      </c>
      <c r="L79" s="78" t="s">
        <v>40</v>
      </c>
      <c r="M79" s="13" t="s">
        <v>39</v>
      </c>
      <c r="N79" s="13" t="s">
        <v>39</v>
      </c>
      <c r="O79" s="13" t="s">
        <v>39</v>
      </c>
      <c r="P79" s="13" t="s">
        <v>39</v>
      </c>
      <c r="Q79" s="13" t="s">
        <v>39</v>
      </c>
      <c r="R79" s="79" t="s">
        <v>41</v>
      </c>
      <c r="S79" s="13" t="s">
        <v>39</v>
      </c>
      <c r="T79" s="15" t="s">
        <v>265</v>
      </c>
      <c r="U79" s="30">
        <v>45975</v>
      </c>
      <c r="V79" s="26">
        <f t="shared" si="7"/>
        <v>0.5</v>
      </c>
      <c r="W79" s="27" t="str">
        <f t="shared" si="8"/>
        <v>ALERTA</v>
      </c>
      <c r="X79" s="18">
        <f t="shared" si="9"/>
        <v>2</v>
      </c>
      <c r="Y79" s="18">
        <f t="shared" si="6"/>
        <v>1</v>
      </c>
    </row>
    <row r="80" spans="1:25" ht="21.75" customHeight="1" x14ac:dyDescent="0.35">
      <c r="A80" s="19">
        <v>2026</v>
      </c>
      <c r="B80" s="75" t="s">
        <v>266</v>
      </c>
      <c r="C80" s="76" t="s">
        <v>267</v>
      </c>
      <c r="D80" s="20" t="s">
        <v>35</v>
      </c>
      <c r="E80" s="21" t="s">
        <v>36</v>
      </c>
      <c r="F80" s="77" t="s">
        <v>89</v>
      </c>
      <c r="G80" s="28"/>
      <c r="H80" s="23" t="s">
        <v>57</v>
      </c>
      <c r="I80" s="24"/>
      <c r="J80" s="13" t="s">
        <v>39</v>
      </c>
      <c r="K80" s="78" t="s">
        <v>40</v>
      </c>
      <c r="L80" s="78" t="s">
        <v>40</v>
      </c>
      <c r="M80" s="13" t="s">
        <v>39</v>
      </c>
      <c r="N80" s="13" t="s">
        <v>39</v>
      </c>
      <c r="O80" s="13" t="s">
        <v>39</v>
      </c>
      <c r="P80" s="78" t="s">
        <v>40</v>
      </c>
      <c r="Q80" s="13" t="s">
        <v>39</v>
      </c>
      <c r="R80" s="78" t="s">
        <v>40</v>
      </c>
      <c r="S80" s="78" t="s">
        <v>40</v>
      </c>
      <c r="T80" s="25" t="s">
        <v>254</v>
      </c>
      <c r="U80" s="31">
        <v>45798</v>
      </c>
      <c r="V80" s="26">
        <f t="shared" si="7"/>
        <v>0</v>
      </c>
      <c r="W80" s="27" t="str">
        <f t="shared" si="8"/>
        <v>CRITICO</v>
      </c>
      <c r="X80" s="18">
        <f t="shared" si="9"/>
        <v>5</v>
      </c>
      <c r="Y80" s="18">
        <f t="shared" si="6"/>
        <v>0</v>
      </c>
    </row>
    <row r="81" spans="1:25" ht="21.75" customHeight="1" x14ac:dyDescent="0.35">
      <c r="A81" s="5">
        <v>2025</v>
      </c>
      <c r="B81" s="73" t="s">
        <v>268</v>
      </c>
      <c r="C81" s="74" t="s">
        <v>269</v>
      </c>
      <c r="D81" s="8" t="s">
        <v>35</v>
      </c>
      <c r="E81" s="9" t="s">
        <v>44</v>
      </c>
      <c r="F81" s="77" t="s">
        <v>74</v>
      </c>
      <c r="G81" s="29"/>
      <c r="H81" s="11" t="s">
        <v>270</v>
      </c>
      <c r="I81" s="12"/>
      <c r="J81" s="13" t="s">
        <v>39</v>
      </c>
      <c r="K81" s="13" t="s">
        <v>39</v>
      </c>
      <c r="L81" s="78" t="s">
        <v>40</v>
      </c>
      <c r="M81" s="78" t="s">
        <v>40</v>
      </c>
      <c r="N81" s="78" t="s">
        <v>40</v>
      </c>
      <c r="O81" s="13" t="s">
        <v>39</v>
      </c>
      <c r="P81" s="13" t="s">
        <v>39</v>
      </c>
      <c r="Q81" s="13" t="s">
        <v>39</v>
      </c>
      <c r="R81" s="13" t="s">
        <v>39</v>
      </c>
      <c r="S81" s="78" t="s">
        <v>40</v>
      </c>
      <c r="T81" s="15" t="s">
        <v>271</v>
      </c>
      <c r="U81" s="30">
        <v>45729</v>
      </c>
      <c r="V81" s="26">
        <f t="shared" si="7"/>
        <v>0</v>
      </c>
      <c r="W81" s="27" t="str">
        <f t="shared" si="8"/>
        <v>CRITICO</v>
      </c>
      <c r="X81" s="18">
        <f t="shared" si="9"/>
        <v>4</v>
      </c>
      <c r="Y81" s="18">
        <f t="shared" si="6"/>
        <v>0</v>
      </c>
    </row>
    <row r="82" spans="1:25" ht="21.75" customHeight="1" x14ac:dyDescent="0.35">
      <c r="A82" s="19">
        <v>2025</v>
      </c>
      <c r="B82" s="86" t="s">
        <v>272</v>
      </c>
      <c r="C82" s="76" t="s">
        <v>273</v>
      </c>
      <c r="D82" s="20" t="s">
        <v>154</v>
      </c>
      <c r="E82" s="21" t="s">
        <v>44</v>
      </c>
      <c r="F82" s="77" t="s">
        <v>74</v>
      </c>
      <c r="G82" s="28"/>
      <c r="H82" s="23" t="s">
        <v>49</v>
      </c>
      <c r="I82" s="24" t="s">
        <v>196</v>
      </c>
      <c r="J82" s="78" t="s">
        <v>40</v>
      </c>
      <c r="K82" s="79" t="s">
        <v>41</v>
      </c>
      <c r="L82" s="78" t="s">
        <v>40</v>
      </c>
      <c r="M82" s="78" t="s">
        <v>40</v>
      </c>
      <c r="N82" s="79" t="s">
        <v>41</v>
      </c>
      <c r="O82" s="78" t="s">
        <v>40</v>
      </c>
      <c r="P82" s="13" t="s">
        <v>39</v>
      </c>
      <c r="Q82" s="79" t="s">
        <v>41</v>
      </c>
      <c r="R82" s="79" t="s">
        <v>41</v>
      </c>
      <c r="S82" s="78" t="s">
        <v>40</v>
      </c>
      <c r="T82" s="25" t="s">
        <v>274</v>
      </c>
      <c r="U82" s="31">
        <v>45980</v>
      </c>
      <c r="V82" s="26">
        <f t="shared" si="7"/>
        <v>0.44444444444444442</v>
      </c>
      <c r="W82" s="27" t="str">
        <f t="shared" si="8"/>
        <v>CRITICO</v>
      </c>
      <c r="X82" s="18">
        <f t="shared" si="9"/>
        <v>9</v>
      </c>
      <c r="Y82" s="18">
        <f t="shared" si="6"/>
        <v>4</v>
      </c>
    </row>
    <row r="83" spans="1:25" ht="21.75" customHeight="1" x14ac:dyDescent="0.35">
      <c r="A83" s="5">
        <v>2025</v>
      </c>
      <c r="B83" s="73" t="s">
        <v>275</v>
      </c>
      <c r="C83" s="74" t="s">
        <v>276</v>
      </c>
      <c r="D83" s="8" t="s">
        <v>35</v>
      </c>
      <c r="E83" s="9" t="s">
        <v>36</v>
      </c>
      <c r="F83" s="77" t="s">
        <v>74</v>
      </c>
      <c r="G83" s="29"/>
      <c r="H83" s="11" t="s">
        <v>37</v>
      </c>
      <c r="I83" s="12" t="s">
        <v>201</v>
      </c>
      <c r="J83" s="13" t="s">
        <v>39</v>
      </c>
      <c r="K83" s="78" t="s">
        <v>40</v>
      </c>
      <c r="L83" s="78" t="s">
        <v>40</v>
      </c>
      <c r="M83" s="13" t="s">
        <v>39</v>
      </c>
      <c r="N83" s="13" t="s">
        <v>39</v>
      </c>
      <c r="O83" s="13" t="s">
        <v>39</v>
      </c>
      <c r="P83" s="79" t="s">
        <v>41</v>
      </c>
      <c r="Q83" s="13" t="s">
        <v>39</v>
      </c>
      <c r="R83" s="79" t="s">
        <v>41</v>
      </c>
      <c r="S83" s="13" t="s">
        <v>39</v>
      </c>
      <c r="T83" s="15" t="s">
        <v>277</v>
      </c>
      <c r="U83" s="30">
        <v>45975</v>
      </c>
      <c r="V83" s="26">
        <f t="shared" si="7"/>
        <v>0.5</v>
      </c>
      <c r="W83" s="27" t="str">
        <f t="shared" si="8"/>
        <v>ALERTA</v>
      </c>
      <c r="X83" s="18">
        <f t="shared" si="9"/>
        <v>4</v>
      </c>
      <c r="Y83" s="18">
        <f t="shared" si="6"/>
        <v>2</v>
      </c>
    </row>
    <row r="84" spans="1:25" ht="21.75" customHeight="1" x14ac:dyDescent="0.35">
      <c r="A84" s="19">
        <v>2026</v>
      </c>
      <c r="B84" s="75" t="s">
        <v>278</v>
      </c>
      <c r="C84" s="76" t="s">
        <v>279</v>
      </c>
      <c r="D84" s="20" t="s">
        <v>86</v>
      </c>
      <c r="E84" s="21" t="s">
        <v>44</v>
      </c>
      <c r="F84" s="77" t="s">
        <v>44</v>
      </c>
      <c r="G84" s="22">
        <v>46173</v>
      </c>
      <c r="H84" s="23" t="s">
        <v>49</v>
      </c>
      <c r="I84" s="24" t="s">
        <v>196</v>
      </c>
      <c r="J84" s="78" t="s">
        <v>40</v>
      </c>
      <c r="K84" s="14"/>
      <c r="L84" s="78" t="s">
        <v>40</v>
      </c>
      <c r="M84" s="78" t="s">
        <v>40</v>
      </c>
      <c r="N84" s="78" t="s">
        <v>40</v>
      </c>
      <c r="O84" s="78" t="s">
        <v>40</v>
      </c>
      <c r="P84" s="13" t="s">
        <v>39</v>
      </c>
      <c r="Q84" s="79" t="s">
        <v>41</v>
      </c>
      <c r="R84" s="78" t="s">
        <v>40</v>
      </c>
      <c r="S84" s="78" t="s">
        <v>40</v>
      </c>
      <c r="T84" s="25" t="s">
        <v>280</v>
      </c>
      <c r="U84" s="31">
        <v>45980</v>
      </c>
      <c r="V84" s="26">
        <f t="shared" si="7"/>
        <v>0.125</v>
      </c>
      <c r="W84" s="27" t="str">
        <f t="shared" si="8"/>
        <v>CRITICO</v>
      </c>
      <c r="X84" s="18">
        <f t="shared" si="9"/>
        <v>8</v>
      </c>
      <c r="Y84" s="18">
        <f t="shared" si="6"/>
        <v>1</v>
      </c>
    </row>
    <row r="85" spans="1:25" ht="21.75" customHeight="1" x14ac:dyDescent="0.35">
      <c r="A85" s="5">
        <v>2025</v>
      </c>
      <c r="B85" s="73" t="s">
        <v>281</v>
      </c>
      <c r="C85" s="74" t="s">
        <v>282</v>
      </c>
      <c r="D85" s="8" t="s">
        <v>35</v>
      </c>
      <c r="E85" s="9" t="s">
        <v>53</v>
      </c>
      <c r="F85" s="77" t="s">
        <v>74</v>
      </c>
      <c r="G85" s="29"/>
      <c r="H85" s="11" t="s">
        <v>37</v>
      </c>
      <c r="I85" s="12"/>
      <c r="J85" s="13" t="s">
        <v>39</v>
      </c>
      <c r="K85" s="32" t="s">
        <v>162</v>
      </c>
      <c r="L85" s="35" t="s">
        <v>283</v>
      </c>
      <c r="M85" s="13" t="s">
        <v>39</v>
      </c>
      <c r="N85" s="13" t="s">
        <v>39</v>
      </c>
      <c r="O85" s="13" t="s">
        <v>39</v>
      </c>
      <c r="P85" s="13" t="s">
        <v>39</v>
      </c>
      <c r="Q85" s="13" t="s">
        <v>39</v>
      </c>
      <c r="R85" s="79" t="s">
        <v>41</v>
      </c>
      <c r="S85" s="78" t="s">
        <v>40</v>
      </c>
      <c r="T85" s="15" t="s">
        <v>284</v>
      </c>
      <c r="U85" s="30">
        <v>45975</v>
      </c>
      <c r="V85" s="26">
        <f t="shared" si="7"/>
        <v>0.5</v>
      </c>
      <c r="W85" s="27" t="str">
        <f t="shared" si="8"/>
        <v>ALERTA</v>
      </c>
      <c r="X85" s="18">
        <f t="shared" si="9"/>
        <v>4</v>
      </c>
      <c r="Y85" s="18">
        <f t="shared" si="6"/>
        <v>1.5</v>
      </c>
    </row>
    <row r="86" spans="1:25" ht="21.75" customHeight="1" x14ac:dyDescent="0.35">
      <c r="A86" s="19">
        <v>2025</v>
      </c>
      <c r="B86" s="75" t="s">
        <v>285</v>
      </c>
      <c r="C86" s="76" t="s">
        <v>286</v>
      </c>
      <c r="D86" s="20" t="s">
        <v>35</v>
      </c>
      <c r="E86" s="21" t="s">
        <v>36</v>
      </c>
      <c r="F86" s="77" t="s">
        <v>101</v>
      </c>
      <c r="G86" s="28"/>
      <c r="H86" s="23" t="s">
        <v>45</v>
      </c>
      <c r="I86" s="24"/>
      <c r="J86" s="13" t="s">
        <v>39</v>
      </c>
      <c r="K86" s="13" t="s">
        <v>39</v>
      </c>
      <c r="L86" s="78" t="s">
        <v>39</v>
      </c>
      <c r="M86" s="13" t="s">
        <v>39</v>
      </c>
      <c r="N86" s="13" t="s">
        <v>39</v>
      </c>
      <c r="O86" s="13" t="s">
        <v>39</v>
      </c>
      <c r="P86" s="13" t="s">
        <v>39</v>
      </c>
      <c r="Q86" s="13" t="s">
        <v>39</v>
      </c>
      <c r="R86" s="14" t="s">
        <v>39</v>
      </c>
      <c r="S86" s="13" t="s">
        <v>39</v>
      </c>
      <c r="T86" s="25" t="s">
        <v>287</v>
      </c>
      <c r="U86" s="31">
        <v>45978</v>
      </c>
      <c r="V86" s="26" t="str">
        <f t="shared" si="7"/>
        <v/>
      </c>
      <c r="W86" s="27" t="str">
        <f t="shared" si="8"/>
        <v>CANCELADO</v>
      </c>
      <c r="X86" s="18">
        <f t="shared" si="9"/>
        <v>0</v>
      </c>
      <c r="Y86" s="18">
        <f t="shared" si="6"/>
        <v>0</v>
      </c>
    </row>
    <row r="87" spans="1:25" ht="21.75" customHeight="1" x14ac:dyDescent="0.35">
      <c r="A87" s="5">
        <v>2025</v>
      </c>
      <c r="B87" s="73" t="s">
        <v>288</v>
      </c>
      <c r="C87" s="74" t="s">
        <v>289</v>
      </c>
      <c r="D87" s="8" t="s">
        <v>35</v>
      </c>
      <c r="E87" s="9" t="s">
        <v>36</v>
      </c>
      <c r="F87" s="77" t="s">
        <v>74</v>
      </c>
      <c r="G87" s="29"/>
      <c r="H87" s="11" t="s">
        <v>45</v>
      </c>
      <c r="I87" s="12" t="s">
        <v>290</v>
      </c>
      <c r="J87" s="13" t="s">
        <v>39</v>
      </c>
      <c r="K87" s="79" t="s">
        <v>41</v>
      </c>
      <c r="L87" s="78" t="s">
        <v>40</v>
      </c>
      <c r="M87" s="13" t="s">
        <v>39</v>
      </c>
      <c r="N87" s="13" t="s">
        <v>39</v>
      </c>
      <c r="O87" s="13" t="s">
        <v>39</v>
      </c>
      <c r="P87" s="79" t="s">
        <v>41</v>
      </c>
      <c r="Q87" s="13" t="s">
        <v>39</v>
      </c>
      <c r="R87" s="79" t="s">
        <v>41</v>
      </c>
      <c r="S87" s="13" t="s">
        <v>39</v>
      </c>
      <c r="T87" s="15" t="s">
        <v>291</v>
      </c>
      <c r="U87" s="30">
        <v>45978</v>
      </c>
      <c r="V87" s="26">
        <f t="shared" si="7"/>
        <v>0.75</v>
      </c>
      <c r="W87" s="27" t="str">
        <f t="shared" si="8"/>
        <v>ALERTA</v>
      </c>
      <c r="X87" s="18">
        <f t="shared" si="9"/>
        <v>4</v>
      </c>
      <c r="Y87" s="18">
        <f t="shared" si="6"/>
        <v>3</v>
      </c>
    </row>
    <row r="88" spans="1:25" ht="21.75" customHeight="1" x14ac:dyDescent="0.35">
      <c r="A88" s="19">
        <v>2025</v>
      </c>
      <c r="B88" s="75" t="s">
        <v>292</v>
      </c>
      <c r="C88" s="76" t="s">
        <v>293</v>
      </c>
      <c r="D88" s="20" t="s">
        <v>35</v>
      </c>
      <c r="E88" s="21" t="s">
        <v>36</v>
      </c>
      <c r="F88" s="77" t="s">
        <v>74</v>
      </c>
      <c r="G88" s="28"/>
      <c r="H88" s="23" t="s">
        <v>245</v>
      </c>
      <c r="I88" s="24" t="s">
        <v>294</v>
      </c>
      <c r="J88" s="13" t="s">
        <v>39</v>
      </c>
      <c r="K88" s="78" t="s">
        <v>40</v>
      </c>
      <c r="L88" s="79" t="s">
        <v>41</v>
      </c>
      <c r="M88" s="13" t="s">
        <v>39</v>
      </c>
      <c r="N88" s="13" t="s">
        <v>39</v>
      </c>
      <c r="O88" s="13" t="s">
        <v>39</v>
      </c>
      <c r="P88" s="79" t="s">
        <v>41</v>
      </c>
      <c r="Q88" s="79" t="s">
        <v>41</v>
      </c>
      <c r="R88" s="79" t="s">
        <v>41</v>
      </c>
      <c r="S88" s="13" t="s">
        <v>39</v>
      </c>
      <c r="T88" s="25" t="s">
        <v>295</v>
      </c>
      <c r="U88" s="31">
        <v>45840</v>
      </c>
      <c r="V88" s="26">
        <f t="shared" si="7"/>
        <v>0.8</v>
      </c>
      <c r="W88" s="27" t="str">
        <f t="shared" si="8"/>
        <v>ALERTA</v>
      </c>
      <c r="X88" s="18">
        <f t="shared" si="9"/>
        <v>5</v>
      </c>
      <c r="Y88" s="18">
        <f t="shared" si="6"/>
        <v>4</v>
      </c>
    </row>
    <row r="89" spans="1:25" ht="21.75" customHeight="1" x14ac:dyDescent="0.35">
      <c r="A89" s="5">
        <v>2024</v>
      </c>
      <c r="B89" s="73" t="s">
        <v>296</v>
      </c>
      <c r="C89" s="74" t="s">
        <v>297</v>
      </c>
      <c r="D89" s="8" t="s">
        <v>35</v>
      </c>
      <c r="E89" s="9" t="s">
        <v>53</v>
      </c>
      <c r="F89" s="77" t="s">
        <v>74</v>
      </c>
      <c r="G89" s="29"/>
      <c r="H89" s="11" t="s">
        <v>298</v>
      </c>
      <c r="I89" s="12" t="s">
        <v>299</v>
      </c>
      <c r="J89" s="13" t="s">
        <v>39</v>
      </c>
      <c r="K89" s="13" t="s">
        <v>39</v>
      </c>
      <c r="L89" s="78" t="s">
        <v>40</v>
      </c>
      <c r="M89" s="13" t="s">
        <v>39</v>
      </c>
      <c r="N89" s="13" t="s">
        <v>39</v>
      </c>
      <c r="O89" s="13" t="s">
        <v>39</v>
      </c>
      <c r="P89" s="13" t="s">
        <v>39</v>
      </c>
      <c r="Q89" s="13" t="s">
        <v>39</v>
      </c>
      <c r="R89" s="13" t="s">
        <v>39</v>
      </c>
      <c r="S89" s="78" t="s">
        <v>40</v>
      </c>
      <c r="T89" s="15" t="s">
        <v>300</v>
      </c>
      <c r="U89" s="30">
        <v>45798</v>
      </c>
      <c r="V89" s="26">
        <f t="shared" si="7"/>
        <v>0</v>
      </c>
      <c r="W89" s="27" t="str">
        <f t="shared" si="8"/>
        <v>CRITICO</v>
      </c>
      <c r="X89" s="18">
        <f t="shared" si="9"/>
        <v>2</v>
      </c>
      <c r="Y89" s="18">
        <f t="shared" si="6"/>
        <v>0</v>
      </c>
    </row>
    <row r="90" spans="1:25" ht="21.75" customHeight="1" x14ac:dyDescent="0.35">
      <c r="A90" s="19">
        <v>2024</v>
      </c>
      <c r="B90" s="75" t="s">
        <v>301</v>
      </c>
      <c r="C90" s="76" t="s">
        <v>302</v>
      </c>
      <c r="D90" s="20" t="s">
        <v>35</v>
      </c>
      <c r="E90" s="21" t="s">
        <v>53</v>
      </c>
      <c r="F90" s="77" t="s">
        <v>74</v>
      </c>
      <c r="G90" s="28"/>
      <c r="H90" s="23" t="s">
        <v>298</v>
      </c>
      <c r="I90" s="24"/>
      <c r="J90" s="13" t="s">
        <v>39</v>
      </c>
      <c r="K90" s="13" t="s">
        <v>39</v>
      </c>
      <c r="L90" s="78" t="s">
        <v>40</v>
      </c>
      <c r="M90" s="13" t="s">
        <v>39</v>
      </c>
      <c r="N90" s="13" t="s">
        <v>39</v>
      </c>
      <c r="O90" s="13" t="s">
        <v>39</v>
      </c>
      <c r="P90" s="13" t="s">
        <v>39</v>
      </c>
      <c r="Q90" s="13" t="s">
        <v>39</v>
      </c>
      <c r="R90" s="13" t="s">
        <v>39</v>
      </c>
      <c r="S90" s="78" t="s">
        <v>40</v>
      </c>
      <c r="T90" s="25" t="s">
        <v>300</v>
      </c>
      <c r="U90" s="31">
        <v>45798</v>
      </c>
      <c r="V90" s="26">
        <f t="shared" si="7"/>
        <v>0</v>
      </c>
      <c r="W90" s="27" t="str">
        <f t="shared" si="8"/>
        <v>CRITICO</v>
      </c>
      <c r="X90" s="18">
        <f t="shared" si="9"/>
        <v>2</v>
      </c>
      <c r="Y90" s="18">
        <f t="shared" si="6"/>
        <v>0</v>
      </c>
    </row>
    <row r="91" spans="1:25" ht="21.75" customHeight="1" x14ac:dyDescent="0.35">
      <c r="A91" s="5">
        <v>2025</v>
      </c>
      <c r="B91" s="73" t="s">
        <v>303</v>
      </c>
      <c r="C91" s="74" t="s">
        <v>304</v>
      </c>
      <c r="D91" s="8" t="s">
        <v>35</v>
      </c>
      <c r="E91" s="9" t="s">
        <v>36</v>
      </c>
      <c r="F91" s="77" t="s">
        <v>74</v>
      </c>
      <c r="G91" s="29"/>
      <c r="H91" s="11" t="s">
        <v>37</v>
      </c>
      <c r="I91" s="12" t="s">
        <v>242</v>
      </c>
      <c r="J91" s="13" t="s">
        <v>39</v>
      </c>
      <c r="K91" s="32" t="s">
        <v>162</v>
      </c>
      <c r="L91" s="79" t="s">
        <v>41</v>
      </c>
      <c r="M91" s="13" t="s">
        <v>39</v>
      </c>
      <c r="N91" s="13" t="s">
        <v>39</v>
      </c>
      <c r="O91" s="13" t="s">
        <v>39</v>
      </c>
      <c r="P91" s="79" t="s">
        <v>41</v>
      </c>
      <c r="Q91" s="13" t="s">
        <v>39</v>
      </c>
      <c r="R91" s="79" t="s">
        <v>41</v>
      </c>
      <c r="S91" s="13" t="s">
        <v>39</v>
      </c>
      <c r="T91" s="15" t="s">
        <v>305</v>
      </c>
      <c r="U91" s="30">
        <v>45975</v>
      </c>
      <c r="V91" s="26">
        <f t="shared" si="7"/>
        <v>1</v>
      </c>
      <c r="W91" s="27" t="str">
        <f t="shared" si="8"/>
        <v>CONFORME</v>
      </c>
      <c r="X91" s="18">
        <f t="shared" si="9"/>
        <v>4</v>
      </c>
      <c r="Y91" s="18">
        <f t="shared" si="6"/>
        <v>3</v>
      </c>
    </row>
    <row r="92" spans="1:25" ht="21.75" customHeight="1" x14ac:dyDescent="0.35">
      <c r="A92" s="19">
        <v>2026</v>
      </c>
      <c r="B92" s="75" t="s">
        <v>306</v>
      </c>
      <c r="C92" s="76" t="s">
        <v>307</v>
      </c>
      <c r="D92" s="20" t="s">
        <v>35</v>
      </c>
      <c r="E92" s="21" t="s">
        <v>120</v>
      </c>
      <c r="F92" s="77" t="s">
        <v>308</v>
      </c>
      <c r="G92" s="28"/>
      <c r="H92" s="23" t="s">
        <v>49</v>
      </c>
      <c r="I92" s="24"/>
      <c r="J92" s="13" t="s">
        <v>39</v>
      </c>
      <c r="K92" s="14"/>
      <c r="L92" s="79" t="s">
        <v>41</v>
      </c>
      <c r="M92" s="13" t="s">
        <v>39</v>
      </c>
      <c r="N92" s="13" t="s">
        <v>39</v>
      </c>
      <c r="O92" s="13" t="s">
        <v>39</v>
      </c>
      <c r="P92" s="13" t="s">
        <v>39</v>
      </c>
      <c r="Q92" s="13" t="s">
        <v>39</v>
      </c>
      <c r="R92" s="14"/>
      <c r="S92" s="13" t="s">
        <v>39</v>
      </c>
      <c r="T92" s="25" t="s">
        <v>309</v>
      </c>
      <c r="U92" s="31">
        <v>45980</v>
      </c>
      <c r="V92" s="26">
        <f t="shared" si="7"/>
        <v>1</v>
      </c>
      <c r="W92" s="27" t="str">
        <f t="shared" si="8"/>
        <v>CONFORME</v>
      </c>
      <c r="X92" s="18">
        <f t="shared" si="9"/>
        <v>1</v>
      </c>
      <c r="Y92" s="18">
        <f t="shared" si="6"/>
        <v>1</v>
      </c>
    </row>
    <row r="93" spans="1:25" ht="21.75" customHeight="1" x14ac:dyDescent="0.35">
      <c r="A93" s="5">
        <v>2024</v>
      </c>
      <c r="B93" s="73" t="s">
        <v>310</v>
      </c>
      <c r="C93" s="74" t="s">
        <v>311</v>
      </c>
      <c r="D93" s="8" t="s">
        <v>35</v>
      </c>
      <c r="E93" s="9" t="s">
        <v>36</v>
      </c>
      <c r="F93" s="77" t="s">
        <v>74</v>
      </c>
      <c r="G93" s="29"/>
      <c r="H93" s="11" t="s">
        <v>245</v>
      </c>
      <c r="I93" s="12" t="s">
        <v>312</v>
      </c>
      <c r="J93" s="13" t="s">
        <v>39</v>
      </c>
      <c r="K93" s="78" t="s">
        <v>40</v>
      </c>
      <c r="L93" s="79" t="s">
        <v>41</v>
      </c>
      <c r="M93" s="13" t="s">
        <v>39</v>
      </c>
      <c r="N93" s="13" t="s">
        <v>39</v>
      </c>
      <c r="O93" s="13" t="s">
        <v>39</v>
      </c>
      <c r="P93" s="79" t="s">
        <v>41</v>
      </c>
      <c r="Q93" s="79" t="s">
        <v>41</v>
      </c>
      <c r="R93" s="13" t="s">
        <v>39</v>
      </c>
      <c r="S93" s="13" t="s">
        <v>39</v>
      </c>
      <c r="T93" s="15" t="s">
        <v>313</v>
      </c>
      <c r="U93" s="30">
        <v>45840</v>
      </c>
      <c r="V93" s="26">
        <f t="shared" si="7"/>
        <v>0.75</v>
      </c>
      <c r="W93" s="27" t="str">
        <f t="shared" si="8"/>
        <v>ALERTA</v>
      </c>
      <c r="X93" s="18">
        <f t="shared" si="9"/>
        <v>4</v>
      </c>
      <c r="Y93" s="18">
        <f t="shared" si="6"/>
        <v>3</v>
      </c>
    </row>
    <row r="94" spans="1:25" ht="21.75" customHeight="1" x14ac:dyDescent="0.35">
      <c r="A94" s="19">
        <v>2024</v>
      </c>
      <c r="B94" s="75" t="s">
        <v>314</v>
      </c>
      <c r="C94" s="76" t="s">
        <v>315</v>
      </c>
      <c r="D94" s="20" t="s">
        <v>35</v>
      </c>
      <c r="E94" s="21" t="s">
        <v>36</v>
      </c>
      <c r="F94" s="77" t="s">
        <v>74</v>
      </c>
      <c r="G94" s="28"/>
      <c r="H94" s="23" t="s">
        <v>228</v>
      </c>
      <c r="I94" s="24"/>
      <c r="J94" s="13" t="s">
        <v>39</v>
      </c>
      <c r="K94" s="13" t="s">
        <v>39</v>
      </c>
      <c r="L94" s="78" t="s">
        <v>40</v>
      </c>
      <c r="M94" s="13" t="s">
        <v>39</v>
      </c>
      <c r="N94" s="13" t="s">
        <v>39</v>
      </c>
      <c r="O94" s="13" t="s">
        <v>39</v>
      </c>
      <c r="P94" s="78" t="s">
        <v>40</v>
      </c>
      <c r="Q94" s="13" t="s">
        <v>39</v>
      </c>
      <c r="R94" s="13" t="s">
        <v>39</v>
      </c>
      <c r="S94" s="13" t="s">
        <v>39</v>
      </c>
      <c r="T94" s="25" t="s">
        <v>316</v>
      </c>
      <c r="U94" s="31">
        <v>45980</v>
      </c>
      <c r="V94" s="26">
        <f t="shared" si="7"/>
        <v>0</v>
      </c>
      <c r="W94" s="27" t="str">
        <f t="shared" si="8"/>
        <v>CRITICO</v>
      </c>
      <c r="X94" s="18">
        <f t="shared" si="9"/>
        <v>2</v>
      </c>
      <c r="Y94" s="18">
        <f t="shared" si="6"/>
        <v>0</v>
      </c>
    </row>
    <row r="95" spans="1:25" ht="21.75" customHeight="1" x14ac:dyDescent="0.35">
      <c r="A95" s="5">
        <v>2024</v>
      </c>
      <c r="B95" s="73" t="s">
        <v>317</v>
      </c>
      <c r="C95" s="74" t="s">
        <v>318</v>
      </c>
      <c r="D95" s="8" t="s">
        <v>35</v>
      </c>
      <c r="E95" s="9" t="s">
        <v>53</v>
      </c>
      <c r="F95" s="77" t="s">
        <v>74</v>
      </c>
      <c r="G95" s="29"/>
      <c r="H95" s="11" t="s">
        <v>319</v>
      </c>
      <c r="I95" s="12"/>
      <c r="J95" s="13" t="s">
        <v>39</v>
      </c>
      <c r="K95" s="13" t="s">
        <v>39</v>
      </c>
      <c r="L95" s="78" t="s">
        <v>40</v>
      </c>
      <c r="M95" s="78" t="s">
        <v>40</v>
      </c>
      <c r="N95" s="13" t="s">
        <v>39</v>
      </c>
      <c r="O95" s="13" t="s">
        <v>39</v>
      </c>
      <c r="P95" s="13" t="s">
        <v>39</v>
      </c>
      <c r="Q95" s="13" t="s">
        <v>39</v>
      </c>
      <c r="R95" s="13" t="s">
        <v>39</v>
      </c>
      <c r="S95" s="13" t="s">
        <v>39</v>
      </c>
      <c r="T95" s="15" t="s">
        <v>320</v>
      </c>
      <c r="U95" s="5"/>
      <c r="V95" s="26">
        <f t="shared" si="7"/>
        <v>0</v>
      </c>
      <c r="W95" s="27" t="str">
        <f t="shared" si="8"/>
        <v>CRITICO</v>
      </c>
      <c r="X95" s="18">
        <f t="shared" si="9"/>
        <v>2</v>
      </c>
      <c r="Y95" s="18">
        <f t="shared" si="6"/>
        <v>0</v>
      </c>
    </row>
    <row r="96" spans="1:25" ht="21.75" customHeight="1" x14ac:dyDescent="0.35">
      <c r="A96" s="19">
        <v>2024</v>
      </c>
      <c r="B96" s="75" t="s">
        <v>321</v>
      </c>
      <c r="C96" s="76" t="s">
        <v>322</v>
      </c>
      <c r="D96" s="20" t="s">
        <v>35</v>
      </c>
      <c r="E96" s="21" t="s">
        <v>36</v>
      </c>
      <c r="F96" s="77" t="s">
        <v>74</v>
      </c>
      <c r="G96" s="28"/>
      <c r="H96" s="23" t="s">
        <v>228</v>
      </c>
      <c r="I96" s="24"/>
      <c r="J96" s="13" t="s">
        <v>39</v>
      </c>
      <c r="K96" s="78" t="s">
        <v>40</v>
      </c>
      <c r="L96" s="79" t="s">
        <v>41</v>
      </c>
      <c r="M96" s="13" t="s">
        <v>39</v>
      </c>
      <c r="N96" s="13" t="s">
        <v>39</v>
      </c>
      <c r="O96" s="13" t="s">
        <v>39</v>
      </c>
      <c r="P96" s="79" t="s">
        <v>41</v>
      </c>
      <c r="Q96" s="13" t="s">
        <v>39</v>
      </c>
      <c r="R96" s="13" t="s">
        <v>39</v>
      </c>
      <c r="S96" s="13" t="s">
        <v>39</v>
      </c>
      <c r="T96" s="25" t="s">
        <v>323</v>
      </c>
      <c r="U96" s="31">
        <v>45980</v>
      </c>
      <c r="V96" s="26">
        <f t="shared" si="7"/>
        <v>0.66666666666666663</v>
      </c>
      <c r="W96" s="27" t="str">
        <f t="shared" si="8"/>
        <v>ALERTA</v>
      </c>
      <c r="X96" s="18">
        <f t="shared" si="9"/>
        <v>3</v>
      </c>
      <c r="Y96" s="18">
        <f t="shared" si="6"/>
        <v>2</v>
      </c>
    </row>
    <row r="97" spans="1:25" ht="21.75" customHeight="1" x14ac:dyDescent="0.35">
      <c r="A97" s="5">
        <v>2024</v>
      </c>
      <c r="B97" s="73" t="s">
        <v>324</v>
      </c>
      <c r="C97" s="74" t="s">
        <v>325</v>
      </c>
      <c r="D97" s="8" t="s">
        <v>35</v>
      </c>
      <c r="E97" s="9" t="s">
        <v>36</v>
      </c>
      <c r="F97" s="77" t="s">
        <v>74</v>
      </c>
      <c r="G97" s="29"/>
      <c r="H97" s="11" t="s">
        <v>37</v>
      </c>
      <c r="I97" s="12"/>
      <c r="J97" s="13" t="s">
        <v>39</v>
      </c>
      <c r="K97" s="32" t="s">
        <v>162</v>
      </c>
      <c r="L97" s="79" t="s">
        <v>41</v>
      </c>
      <c r="M97" s="13" t="s">
        <v>39</v>
      </c>
      <c r="N97" s="13" t="s">
        <v>39</v>
      </c>
      <c r="O97" s="13" t="s">
        <v>39</v>
      </c>
      <c r="P97" s="79" t="s">
        <v>41</v>
      </c>
      <c r="Q97" s="13" t="s">
        <v>39</v>
      </c>
      <c r="R97" s="79" t="s">
        <v>41</v>
      </c>
      <c r="S97" s="13" t="s">
        <v>39</v>
      </c>
      <c r="T97" s="15" t="s">
        <v>326</v>
      </c>
      <c r="U97" s="30">
        <v>45975</v>
      </c>
      <c r="V97" s="26">
        <f t="shared" si="7"/>
        <v>1</v>
      </c>
      <c r="W97" s="27" t="str">
        <f t="shared" si="8"/>
        <v>CONFORME</v>
      </c>
      <c r="X97" s="18">
        <f t="shared" si="9"/>
        <v>4</v>
      </c>
      <c r="Y97" s="18">
        <f t="shared" si="6"/>
        <v>3</v>
      </c>
    </row>
    <row r="98" spans="1:25" ht="21.75" customHeight="1" x14ac:dyDescent="0.35">
      <c r="A98" s="19">
        <v>2024</v>
      </c>
      <c r="B98" s="75" t="s">
        <v>327</v>
      </c>
      <c r="C98" s="76" t="s">
        <v>328</v>
      </c>
      <c r="D98" s="20" t="s">
        <v>35</v>
      </c>
      <c r="E98" s="21" t="s">
        <v>36</v>
      </c>
      <c r="F98" s="77" t="s">
        <v>74</v>
      </c>
      <c r="G98" s="28"/>
      <c r="H98" s="23" t="s">
        <v>329</v>
      </c>
      <c r="I98" s="24" t="s">
        <v>242</v>
      </c>
      <c r="J98" s="13" t="s">
        <v>39</v>
      </c>
      <c r="K98" s="13" t="s">
        <v>39</v>
      </c>
      <c r="L98" s="79" t="s">
        <v>41</v>
      </c>
      <c r="M98" s="13" t="s">
        <v>39</v>
      </c>
      <c r="N98" s="79" t="s">
        <v>41</v>
      </c>
      <c r="O98" s="13" t="s">
        <v>39</v>
      </c>
      <c r="P98" s="78" t="s">
        <v>40</v>
      </c>
      <c r="Q98" s="13" t="s">
        <v>39</v>
      </c>
      <c r="R98" s="13" t="s">
        <v>39</v>
      </c>
      <c r="S98" s="13" t="s">
        <v>39</v>
      </c>
      <c r="T98" s="25" t="s">
        <v>330</v>
      </c>
      <c r="U98" s="19"/>
      <c r="V98" s="26">
        <f t="shared" si="7"/>
        <v>0.66666666666666663</v>
      </c>
      <c r="W98" s="27" t="str">
        <f t="shared" si="8"/>
        <v>ALERTA</v>
      </c>
      <c r="X98" s="18">
        <f t="shared" si="9"/>
        <v>3</v>
      </c>
      <c r="Y98" s="18">
        <f t="shared" si="6"/>
        <v>2</v>
      </c>
    </row>
    <row r="99" spans="1:25" ht="21.75" customHeight="1" x14ac:dyDescent="0.35">
      <c r="A99" s="5">
        <v>2024</v>
      </c>
      <c r="B99" s="73" t="s">
        <v>331</v>
      </c>
      <c r="C99" s="74" t="s">
        <v>332</v>
      </c>
      <c r="D99" s="8" t="s">
        <v>35</v>
      </c>
      <c r="E99" s="9" t="s">
        <v>53</v>
      </c>
      <c r="F99" s="77" t="s">
        <v>74</v>
      </c>
      <c r="G99" s="29"/>
      <c r="H99" s="11" t="s">
        <v>333</v>
      </c>
      <c r="I99" s="12"/>
      <c r="J99" s="13" t="s">
        <v>39</v>
      </c>
      <c r="K99" s="13" t="s">
        <v>39</v>
      </c>
      <c r="L99" s="78" t="s">
        <v>40</v>
      </c>
      <c r="M99" s="13" t="s">
        <v>39</v>
      </c>
      <c r="N99" s="13" t="s">
        <v>39</v>
      </c>
      <c r="O99" s="13" t="s">
        <v>39</v>
      </c>
      <c r="P99" s="13" t="s">
        <v>39</v>
      </c>
      <c r="Q99" s="13" t="s">
        <v>39</v>
      </c>
      <c r="R99" s="13" t="s">
        <v>39</v>
      </c>
      <c r="S99" s="13" t="s">
        <v>39</v>
      </c>
      <c r="T99" s="15" t="s">
        <v>334</v>
      </c>
      <c r="U99" s="30">
        <v>45721</v>
      </c>
      <c r="V99" s="26">
        <f t="shared" si="7"/>
        <v>0</v>
      </c>
      <c r="W99" s="27" t="str">
        <f t="shared" si="8"/>
        <v>CRITICO</v>
      </c>
      <c r="X99" s="18">
        <f t="shared" si="9"/>
        <v>1</v>
      </c>
      <c r="Y99" s="18">
        <f t="shared" si="6"/>
        <v>0</v>
      </c>
    </row>
    <row r="100" spans="1:25" ht="21.75" customHeight="1" x14ac:dyDescent="0.35">
      <c r="A100" s="19">
        <v>2025</v>
      </c>
      <c r="B100" s="75" t="s">
        <v>335</v>
      </c>
      <c r="C100" s="76" t="s">
        <v>336</v>
      </c>
      <c r="D100" s="20" t="s">
        <v>86</v>
      </c>
      <c r="E100" s="21" t="s">
        <v>36</v>
      </c>
      <c r="F100" s="77" t="s">
        <v>74</v>
      </c>
      <c r="G100" s="28"/>
      <c r="H100" s="23" t="s">
        <v>137</v>
      </c>
      <c r="I100" s="24" t="s">
        <v>337</v>
      </c>
      <c r="J100" s="78" t="s">
        <v>40</v>
      </c>
      <c r="K100" s="78" t="s">
        <v>40</v>
      </c>
      <c r="L100" s="78" t="s">
        <v>40</v>
      </c>
      <c r="M100" s="13" t="s">
        <v>39</v>
      </c>
      <c r="N100" s="79" t="s">
        <v>41</v>
      </c>
      <c r="O100" s="78" t="s">
        <v>40</v>
      </c>
      <c r="P100" s="78" t="s">
        <v>40</v>
      </c>
      <c r="Q100" s="78" t="s">
        <v>40</v>
      </c>
      <c r="R100" s="79" t="s">
        <v>41</v>
      </c>
      <c r="S100" s="13" t="s">
        <v>39</v>
      </c>
      <c r="T100" s="25" t="s">
        <v>338</v>
      </c>
      <c r="U100" s="31">
        <v>45980</v>
      </c>
      <c r="V100" s="26">
        <f t="shared" si="7"/>
        <v>0.25</v>
      </c>
      <c r="W100" s="27" t="str">
        <f t="shared" si="8"/>
        <v>CRITICO</v>
      </c>
      <c r="X100" s="18">
        <f t="shared" si="9"/>
        <v>8</v>
      </c>
      <c r="Y100" s="18">
        <f t="shared" si="6"/>
        <v>2</v>
      </c>
    </row>
    <row r="101" spans="1:25" ht="21.75" customHeight="1" x14ac:dyDescent="0.35">
      <c r="A101" s="5">
        <v>2025</v>
      </c>
      <c r="B101" s="73" t="s">
        <v>339</v>
      </c>
      <c r="C101" s="74" t="s">
        <v>340</v>
      </c>
      <c r="D101" s="8" t="s">
        <v>86</v>
      </c>
      <c r="E101" s="9" t="s">
        <v>120</v>
      </c>
      <c r="F101" s="77" t="s">
        <v>74</v>
      </c>
      <c r="G101" s="29"/>
      <c r="H101" s="11" t="s">
        <v>49</v>
      </c>
      <c r="I101" s="12" t="s">
        <v>193</v>
      </c>
      <c r="J101" s="78" t="s">
        <v>283</v>
      </c>
      <c r="K101" s="79" t="s">
        <v>41</v>
      </c>
      <c r="L101" s="78" t="s">
        <v>40</v>
      </c>
      <c r="M101" s="13" t="s">
        <v>39</v>
      </c>
      <c r="N101" s="79" t="s">
        <v>41</v>
      </c>
      <c r="O101" s="78" t="s">
        <v>40</v>
      </c>
      <c r="P101" s="79" t="s">
        <v>41</v>
      </c>
      <c r="Q101" s="79" t="s">
        <v>41</v>
      </c>
      <c r="R101" s="79" t="s">
        <v>41</v>
      </c>
      <c r="S101" s="13" t="s">
        <v>39</v>
      </c>
      <c r="T101" s="15" t="s">
        <v>341</v>
      </c>
      <c r="U101" s="30">
        <v>45800</v>
      </c>
      <c r="V101" s="26">
        <f t="shared" si="7"/>
        <v>0.6875</v>
      </c>
      <c r="W101" s="27" t="str">
        <f t="shared" si="8"/>
        <v>ALERTA</v>
      </c>
      <c r="X101" s="18">
        <f t="shared" si="9"/>
        <v>8</v>
      </c>
      <c r="Y101" s="18">
        <f t="shared" si="6"/>
        <v>5.5</v>
      </c>
    </row>
    <row r="102" spans="1:25" ht="21.75" customHeight="1" x14ac:dyDescent="0.35">
      <c r="A102" s="19">
        <v>2025</v>
      </c>
      <c r="B102" s="75" t="s">
        <v>342</v>
      </c>
      <c r="C102" s="76" t="s">
        <v>343</v>
      </c>
      <c r="D102" s="20" t="s">
        <v>35</v>
      </c>
      <c r="E102" s="21" t="s">
        <v>36</v>
      </c>
      <c r="F102" s="77" t="s">
        <v>74</v>
      </c>
      <c r="G102" s="28"/>
      <c r="H102" s="23" t="s">
        <v>245</v>
      </c>
      <c r="I102" s="24" t="s">
        <v>344</v>
      </c>
      <c r="J102" s="13" t="s">
        <v>39</v>
      </c>
      <c r="K102" s="33" t="s">
        <v>169</v>
      </c>
      <c r="L102" s="79" t="s">
        <v>41</v>
      </c>
      <c r="M102" s="13" t="s">
        <v>39</v>
      </c>
      <c r="N102" s="13" t="s">
        <v>39</v>
      </c>
      <c r="O102" s="13" t="s">
        <v>39</v>
      </c>
      <c r="P102" s="79" t="s">
        <v>41</v>
      </c>
      <c r="Q102" s="13" t="s">
        <v>39</v>
      </c>
      <c r="R102" s="33" t="s">
        <v>169</v>
      </c>
      <c r="S102" s="13" t="s">
        <v>39</v>
      </c>
      <c r="T102" s="25" t="s">
        <v>345</v>
      </c>
      <c r="U102" s="31">
        <v>45840</v>
      </c>
      <c r="V102" s="26">
        <f t="shared" si="7"/>
        <v>1</v>
      </c>
      <c r="W102" s="27" t="str">
        <f t="shared" si="8"/>
        <v>CONFORME</v>
      </c>
      <c r="X102" s="18">
        <f t="shared" si="9"/>
        <v>2</v>
      </c>
      <c r="Y102" s="18">
        <f t="shared" si="6"/>
        <v>2</v>
      </c>
    </row>
    <row r="103" spans="1:25" ht="21.75" customHeight="1" x14ac:dyDescent="0.35">
      <c r="A103" s="5">
        <v>2025</v>
      </c>
      <c r="B103" s="73" t="s">
        <v>346</v>
      </c>
      <c r="C103" s="74" t="s">
        <v>347</v>
      </c>
      <c r="D103" s="8" t="s">
        <v>35</v>
      </c>
      <c r="E103" s="9" t="s">
        <v>36</v>
      </c>
      <c r="F103" s="77" t="s">
        <v>74</v>
      </c>
      <c r="G103" s="29"/>
      <c r="H103" s="11" t="s">
        <v>245</v>
      </c>
      <c r="I103" s="12" t="s">
        <v>344</v>
      </c>
      <c r="J103" s="13" t="s">
        <v>39</v>
      </c>
      <c r="K103" s="33" t="s">
        <v>169</v>
      </c>
      <c r="L103" s="79" t="s">
        <v>41</v>
      </c>
      <c r="M103" s="13" t="s">
        <v>39</v>
      </c>
      <c r="N103" s="13" t="s">
        <v>39</v>
      </c>
      <c r="O103" s="13" t="s">
        <v>39</v>
      </c>
      <c r="P103" s="79" t="s">
        <v>41</v>
      </c>
      <c r="Q103" s="13" t="s">
        <v>39</v>
      </c>
      <c r="R103" s="33" t="s">
        <v>169</v>
      </c>
      <c r="S103" s="13" t="s">
        <v>39</v>
      </c>
      <c r="T103" s="15" t="s">
        <v>345</v>
      </c>
      <c r="U103" s="30">
        <v>45840</v>
      </c>
      <c r="V103" s="26">
        <f t="shared" si="7"/>
        <v>1</v>
      </c>
      <c r="W103" s="27" t="str">
        <f t="shared" si="8"/>
        <v>CONFORME</v>
      </c>
      <c r="X103" s="18">
        <f t="shared" si="9"/>
        <v>2</v>
      </c>
      <c r="Y103" s="18">
        <f t="shared" si="6"/>
        <v>2</v>
      </c>
    </row>
    <row r="104" spans="1:25" ht="21.75" customHeight="1" x14ac:dyDescent="0.35">
      <c r="A104" s="19">
        <v>2025</v>
      </c>
      <c r="B104" s="75" t="s">
        <v>348</v>
      </c>
      <c r="C104" s="76" t="s">
        <v>349</v>
      </c>
      <c r="D104" s="20" t="s">
        <v>35</v>
      </c>
      <c r="E104" s="21" t="s">
        <v>36</v>
      </c>
      <c r="F104" s="77" t="s">
        <v>74</v>
      </c>
      <c r="G104" s="28"/>
      <c r="H104" s="23" t="s">
        <v>245</v>
      </c>
      <c r="I104" s="24" t="s">
        <v>344</v>
      </c>
      <c r="J104" s="13" t="s">
        <v>39</v>
      </c>
      <c r="K104" s="33" t="s">
        <v>169</v>
      </c>
      <c r="L104" s="79" t="s">
        <v>41</v>
      </c>
      <c r="M104" s="13" t="s">
        <v>39</v>
      </c>
      <c r="N104" s="13" t="s">
        <v>39</v>
      </c>
      <c r="O104" s="13" t="s">
        <v>39</v>
      </c>
      <c r="P104" s="79" t="s">
        <v>41</v>
      </c>
      <c r="Q104" s="13" t="s">
        <v>39</v>
      </c>
      <c r="R104" s="79" t="s">
        <v>41</v>
      </c>
      <c r="S104" s="13" t="s">
        <v>39</v>
      </c>
      <c r="T104" s="25" t="s">
        <v>350</v>
      </c>
      <c r="U104" s="31">
        <v>45840</v>
      </c>
      <c r="V104" s="26">
        <f t="shared" si="7"/>
        <v>1</v>
      </c>
      <c r="W104" s="27" t="str">
        <f t="shared" si="8"/>
        <v>CONFORME</v>
      </c>
      <c r="X104" s="18">
        <f t="shared" si="9"/>
        <v>3</v>
      </c>
      <c r="Y104" s="18">
        <f t="shared" si="6"/>
        <v>3</v>
      </c>
    </row>
    <row r="105" spans="1:25" ht="21.75" customHeight="1" x14ac:dyDescent="0.35">
      <c r="A105" s="5">
        <v>2024</v>
      </c>
      <c r="B105" s="73" t="s">
        <v>351</v>
      </c>
      <c r="C105" s="74" t="s">
        <v>352</v>
      </c>
      <c r="D105" s="8" t="s">
        <v>35</v>
      </c>
      <c r="E105" s="9" t="s">
        <v>36</v>
      </c>
      <c r="F105" s="77" t="s">
        <v>74</v>
      </c>
      <c r="G105" s="29"/>
      <c r="H105" s="11" t="s">
        <v>353</v>
      </c>
      <c r="I105" s="12" t="s">
        <v>242</v>
      </c>
      <c r="J105" s="13" t="s">
        <v>39</v>
      </c>
      <c r="K105" s="13" t="s">
        <v>39</v>
      </c>
      <c r="L105" s="79" t="s">
        <v>41</v>
      </c>
      <c r="M105" s="13" t="s">
        <v>39</v>
      </c>
      <c r="N105" s="79" t="s">
        <v>41</v>
      </c>
      <c r="O105" s="13" t="s">
        <v>39</v>
      </c>
      <c r="P105" s="79" t="s">
        <v>41</v>
      </c>
      <c r="Q105" s="13" t="s">
        <v>39</v>
      </c>
      <c r="R105" s="13" t="s">
        <v>39</v>
      </c>
      <c r="S105" s="78" t="s">
        <v>40</v>
      </c>
      <c r="T105" s="15" t="s">
        <v>354</v>
      </c>
      <c r="U105" s="30">
        <v>45728</v>
      </c>
      <c r="V105" s="26">
        <f t="shared" si="7"/>
        <v>0.75</v>
      </c>
      <c r="W105" s="27" t="str">
        <f t="shared" si="8"/>
        <v>ALERTA</v>
      </c>
      <c r="X105" s="18">
        <f t="shared" si="9"/>
        <v>4</v>
      </c>
      <c r="Y105" s="18">
        <f t="shared" si="6"/>
        <v>3</v>
      </c>
    </row>
    <row r="106" spans="1:25" ht="21.75" customHeight="1" x14ac:dyDescent="0.35">
      <c r="A106" s="19">
        <v>2024</v>
      </c>
      <c r="B106" s="75" t="s">
        <v>355</v>
      </c>
      <c r="C106" s="76" t="s">
        <v>356</v>
      </c>
      <c r="D106" s="20"/>
      <c r="E106" s="21" t="s">
        <v>53</v>
      </c>
      <c r="F106" s="77" t="s">
        <v>308</v>
      </c>
      <c r="G106" s="28"/>
      <c r="H106" s="23"/>
      <c r="I106" s="24"/>
      <c r="J106" s="14"/>
      <c r="K106" s="33" t="s">
        <v>169</v>
      </c>
      <c r="L106" s="14"/>
      <c r="M106" s="14"/>
      <c r="N106" s="13" t="s">
        <v>39</v>
      </c>
      <c r="O106" s="14"/>
      <c r="P106" s="14"/>
      <c r="Q106" s="14"/>
      <c r="R106" s="14"/>
      <c r="S106" s="13" t="s">
        <v>39</v>
      </c>
      <c r="T106" s="25"/>
      <c r="U106" s="19"/>
      <c r="V106" s="26" t="str">
        <f t="shared" si="7"/>
        <v/>
      </c>
      <c r="W106" s="27" t="str">
        <f t="shared" si="8"/>
        <v>STAND BY</v>
      </c>
      <c r="X106" s="18">
        <f t="shared" si="9"/>
        <v>0</v>
      </c>
      <c r="Y106" s="18">
        <f t="shared" si="6"/>
        <v>0</v>
      </c>
    </row>
    <row r="107" spans="1:25" ht="21.75" customHeight="1" x14ac:dyDescent="0.35">
      <c r="A107" s="5">
        <v>2024</v>
      </c>
      <c r="B107" s="73" t="s">
        <v>357</v>
      </c>
      <c r="C107" s="74" t="s">
        <v>358</v>
      </c>
      <c r="D107" s="8" t="s">
        <v>35</v>
      </c>
      <c r="E107" s="9" t="s">
        <v>53</v>
      </c>
      <c r="F107" s="77" t="s">
        <v>74</v>
      </c>
      <c r="G107" s="29"/>
      <c r="H107" s="11" t="s">
        <v>298</v>
      </c>
      <c r="I107" s="12" t="s">
        <v>299</v>
      </c>
      <c r="J107" s="13" t="s">
        <v>39</v>
      </c>
      <c r="K107" s="13" t="s">
        <v>39</v>
      </c>
      <c r="L107" s="78" t="s">
        <v>40</v>
      </c>
      <c r="M107" s="13" t="s">
        <v>39</v>
      </c>
      <c r="N107" s="13" t="s">
        <v>39</v>
      </c>
      <c r="O107" s="13" t="s">
        <v>39</v>
      </c>
      <c r="P107" s="13" t="s">
        <v>39</v>
      </c>
      <c r="Q107" s="13" t="s">
        <v>39</v>
      </c>
      <c r="R107" s="13" t="s">
        <v>39</v>
      </c>
      <c r="S107" s="78" t="s">
        <v>40</v>
      </c>
      <c r="T107" s="15" t="s">
        <v>300</v>
      </c>
      <c r="U107" s="30">
        <v>45798</v>
      </c>
      <c r="V107" s="26">
        <f t="shared" si="7"/>
        <v>0</v>
      </c>
      <c r="W107" s="27" t="str">
        <f t="shared" si="8"/>
        <v>CRITICO</v>
      </c>
      <c r="X107" s="18">
        <f t="shared" si="9"/>
        <v>2</v>
      </c>
      <c r="Y107" s="18">
        <f t="shared" si="6"/>
        <v>0</v>
      </c>
    </row>
    <row r="108" spans="1:25" ht="21.75" customHeight="1" x14ac:dyDescent="0.35">
      <c r="A108" s="19">
        <v>2025</v>
      </c>
      <c r="B108" s="75" t="s">
        <v>359</v>
      </c>
      <c r="C108" s="76" t="s">
        <v>360</v>
      </c>
      <c r="D108" s="20" t="s">
        <v>35</v>
      </c>
      <c r="E108" s="21" t="s">
        <v>36</v>
      </c>
      <c r="F108" s="77" t="s">
        <v>74</v>
      </c>
      <c r="G108" s="28"/>
      <c r="H108" s="23" t="s">
        <v>245</v>
      </c>
      <c r="I108" s="24" t="s">
        <v>361</v>
      </c>
      <c r="J108" s="13" t="s">
        <v>39</v>
      </c>
      <c r="K108" s="78" t="s">
        <v>40</v>
      </c>
      <c r="L108" s="79" t="s">
        <v>41</v>
      </c>
      <c r="M108" s="13" t="s">
        <v>39</v>
      </c>
      <c r="N108" s="13" t="s">
        <v>39</v>
      </c>
      <c r="O108" s="13" t="s">
        <v>39</v>
      </c>
      <c r="P108" s="79" t="s">
        <v>41</v>
      </c>
      <c r="Q108" s="79" t="s">
        <v>41</v>
      </c>
      <c r="R108" s="79" t="s">
        <v>41</v>
      </c>
      <c r="S108" s="13" t="s">
        <v>39</v>
      </c>
      <c r="T108" s="25" t="s">
        <v>362</v>
      </c>
      <c r="U108" s="31">
        <v>45840</v>
      </c>
      <c r="V108" s="26">
        <f t="shared" si="7"/>
        <v>0.8</v>
      </c>
      <c r="W108" s="27" t="str">
        <f t="shared" si="8"/>
        <v>ALERTA</v>
      </c>
      <c r="X108" s="18">
        <f t="shared" ref="X108:X139" si="10">10-COUNTIF(J108:S108,"NO APLICA")-COUNTIF(J108:S108,"-")-COUNTIF(J108:S108,"")</f>
        <v>5</v>
      </c>
      <c r="Y108" s="18">
        <f t="shared" si="6"/>
        <v>4</v>
      </c>
    </row>
    <row r="109" spans="1:25" ht="21.75" customHeight="1" x14ac:dyDescent="0.35">
      <c r="A109" s="5">
        <v>2024</v>
      </c>
      <c r="B109" s="73" t="s">
        <v>363</v>
      </c>
      <c r="C109" s="74" t="s">
        <v>364</v>
      </c>
      <c r="D109" s="8" t="s">
        <v>35</v>
      </c>
      <c r="E109" s="9"/>
      <c r="F109" s="77" t="s">
        <v>74</v>
      </c>
      <c r="G109" s="29"/>
      <c r="H109" s="11" t="s">
        <v>333</v>
      </c>
      <c r="I109" s="12"/>
      <c r="J109" s="13" t="s">
        <v>39</v>
      </c>
      <c r="K109" s="13" t="s">
        <v>39</v>
      </c>
      <c r="L109" s="78" t="s">
        <v>40</v>
      </c>
      <c r="M109" s="13" t="s">
        <v>39</v>
      </c>
      <c r="N109" s="13" t="s">
        <v>39</v>
      </c>
      <c r="O109" s="13" t="s">
        <v>39</v>
      </c>
      <c r="P109" s="13" t="s">
        <v>39</v>
      </c>
      <c r="Q109" s="13" t="s">
        <v>39</v>
      </c>
      <c r="R109" s="13" t="s">
        <v>39</v>
      </c>
      <c r="S109" s="13" t="s">
        <v>39</v>
      </c>
      <c r="T109" s="15" t="s">
        <v>365</v>
      </c>
      <c r="U109" s="30">
        <v>45721</v>
      </c>
      <c r="V109" s="26">
        <f t="shared" si="7"/>
        <v>0</v>
      </c>
      <c r="W109" s="27" t="str">
        <f t="shared" si="8"/>
        <v>CRITICO</v>
      </c>
      <c r="X109" s="18">
        <f t="shared" si="10"/>
        <v>1</v>
      </c>
      <c r="Y109" s="18">
        <f t="shared" si="6"/>
        <v>0</v>
      </c>
    </row>
    <row r="110" spans="1:25" ht="21.75" customHeight="1" x14ac:dyDescent="0.35">
      <c r="A110" s="19">
        <v>2024</v>
      </c>
      <c r="B110" s="75" t="s">
        <v>366</v>
      </c>
      <c r="C110" s="76" t="s">
        <v>367</v>
      </c>
      <c r="D110" s="20" t="s">
        <v>35</v>
      </c>
      <c r="E110" s="21" t="s">
        <v>36</v>
      </c>
      <c r="F110" s="77" t="s">
        <v>74</v>
      </c>
      <c r="G110" s="28"/>
      <c r="H110" s="23" t="s">
        <v>45</v>
      </c>
      <c r="I110" s="24"/>
      <c r="J110" s="13" t="s">
        <v>39</v>
      </c>
      <c r="K110" s="79" t="s">
        <v>41</v>
      </c>
      <c r="L110" s="79" t="s">
        <v>41</v>
      </c>
      <c r="M110" s="13" t="s">
        <v>39</v>
      </c>
      <c r="N110" s="13" t="s">
        <v>39</v>
      </c>
      <c r="O110" s="13" t="s">
        <v>39</v>
      </c>
      <c r="P110" s="78" t="s">
        <v>40</v>
      </c>
      <c r="Q110" s="13" t="s">
        <v>39</v>
      </c>
      <c r="R110" s="79" t="s">
        <v>41</v>
      </c>
      <c r="S110" s="13" t="s">
        <v>39</v>
      </c>
      <c r="T110" s="25" t="s">
        <v>368</v>
      </c>
      <c r="U110" s="31">
        <v>45810</v>
      </c>
      <c r="V110" s="26">
        <f t="shared" si="7"/>
        <v>0.75</v>
      </c>
      <c r="W110" s="27" t="str">
        <f t="shared" si="8"/>
        <v>ALERTA</v>
      </c>
      <c r="X110" s="18">
        <f t="shared" si="10"/>
        <v>4</v>
      </c>
      <c r="Y110" s="18">
        <f t="shared" si="6"/>
        <v>3</v>
      </c>
    </row>
    <row r="111" spans="1:25" ht="21.75" customHeight="1" x14ac:dyDescent="0.35">
      <c r="A111" s="5">
        <v>2025</v>
      </c>
      <c r="B111" s="73" t="s">
        <v>369</v>
      </c>
      <c r="C111" s="74" t="s">
        <v>370</v>
      </c>
      <c r="D111" s="8" t="s">
        <v>86</v>
      </c>
      <c r="E111" s="9" t="s">
        <v>44</v>
      </c>
      <c r="F111" s="77" t="s">
        <v>74</v>
      </c>
      <c r="G111" s="29"/>
      <c r="H111" s="11" t="s">
        <v>45</v>
      </c>
      <c r="I111" s="12"/>
      <c r="J111" s="78" t="s">
        <v>40</v>
      </c>
      <c r="K111" s="79" t="s">
        <v>41</v>
      </c>
      <c r="L111" s="78" t="s">
        <v>40</v>
      </c>
      <c r="M111" s="79" t="s">
        <v>41</v>
      </c>
      <c r="N111" s="79" t="s">
        <v>41</v>
      </c>
      <c r="O111" s="78" t="s">
        <v>40</v>
      </c>
      <c r="P111" s="13" t="s">
        <v>39</v>
      </c>
      <c r="Q111" s="79" t="s">
        <v>41</v>
      </c>
      <c r="R111" s="79" t="s">
        <v>41</v>
      </c>
      <c r="S111" s="78" t="s">
        <v>40</v>
      </c>
      <c r="T111" s="15" t="s">
        <v>371</v>
      </c>
      <c r="U111" s="30">
        <v>45978</v>
      </c>
      <c r="V111" s="26">
        <f t="shared" si="7"/>
        <v>0.55555555555555558</v>
      </c>
      <c r="W111" s="27" t="str">
        <f t="shared" si="8"/>
        <v>ALERTA</v>
      </c>
      <c r="X111" s="18">
        <f t="shared" si="10"/>
        <v>9</v>
      </c>
      <c r="Y111" s="18">
        <f t="shared" si="6"/>
        <v>5</v>
      </c>
    </row>
    <row r="112" spans="1:25" ht="21.75" customHeight="1" x14ac:dyDescent="0.35">
      <c r="A112" s="19">
        <v>2026</v>
      </c>
      <c r="B112" s="75" t="s">
        <v>372</v>
      </c>
      <c r="C112" s="76" t="s">
        <v>373</v>
      </c>
      <c r="D112" s="20" t="s">
        <v>86</v>
      </c>
      <c r="E112" s="21" t="s">
        <v>44</v>
      </c>
      <c r="F112" s="77" t="s">
        <v>44</v>
      </c>
      <c r="G112" s="28"/>
      <c r="H112" s="23" t="s">
        <v>37</v>
      </c>
      <c r="I112" s="24"/>
      <c r="J112" s="79" t="s">
        <v>41</v>
      </c>
      <c r="K112" s="14"/>
      <c r="L112" s="78" t="s">
        <v>40</v>
      </c>
      <c r="M112" s="78" t="s">
        <v>40</v>
      </c>
      <c r="N112" s="14"/>
      <c r="O112" s="78" t="s">
        <v>40</v>
      </c>
      <c r="P112" s="13" t="s">
        <v>39</v>
      </c>
      <c r="Q112" s="78" t="s">
        <v>40</v>
      </c>
      <c r="R112" s="14"/>
      <c r="S112" s="78" t="s">
        <v>40</v>
      </c>
      <c r="T112" s="25" t="s">
        <v>374</v>
      </c>
      <c r="U112" s="31">
        <v>45819</v>
      </c>
      <c r="V112" s="26">
        <f t="shared" si="7"/>
        <v>0.16666666666666666</v>
      </c>
      <c r="W112" s="27" t="str">
        <f t="shared" si="8"/>
        <v>CRITICO</v>
      </c>
      <c r="X112" s="18">
        <f t="shared" si="10"/>
        <v>6</v>
      </c>
      <c r="Y112" s="18">
        <f t="shared" si="6"/>
        <v>1</v>
      </c>
    </row>
    <row r="113" spans="1:25" ht="21.75" customHeight="1" x14ac:dyDescent="0.35">
      <c r="A113" s="5">
        <v>2025</v>
      </c>
      <c r="B113" s="73" t="s">
        <v>375</v>
      </c>
      <c r="C113" s="74" t="s">
        <v>376</v>
      </c>
      <c r="D113" s="8" t="s">
        <v>86</v>
      </c>
      <c r="E113" s="9" t="s">
        <v>44</v>
      </c>
      <c r="F113" s="77" t="s">
        <v>74</v>
      </c>
      <c r="G113" s="29"/>
      <c r="H113" s="11" t="s">
        <v>45</v>
      </c>
      <c r="I113" s="12" t="s">
        <v>377</v>
      </c>
      <c r="J113" s="78" t="s">
        <v>40</v>
      </c>
      <c r="K113" s="78" t="s">
        <v>40</v>
      </c>
      <c r="L113" s="78" t="s">
        <v>40</v>
      </c>
      <c r="M113" s="79" t="s">
        <v>41</v>
      </c>
      <c r="N113" s="79" t="s">
        <v>41</v>
      </c>
      <c r="O113" s="78" t="s">
        <v>40</v>
      </c>
      <c r="P113" s="13" t="s">
        <v>39</v>
      </c>
      <c r="Q113" s="79" t="s">
        <v>41</v>
      </c>
      <c r="R113" s="79" t="s">
        <v>41</v>
      </c>
      <c r="S113" s="78" t="s">
        <v>40</v>
      </c>
      <c r="T113" s="15" t="s">
        <v>378</v>
      </c>
      <c r="U113" s="30">
        <v>45978</v>
      </c>
      <c r="V113" s="26">
        <f t="shared" si="7"/>
        <v>0.44444444444444442</v>
      </c>
      <c r="W113" s="27" t="str">
        <f t="shared" si="8"/>
        <v>CRITICO</v>
      </c>
      <c r="X113" s="18">
        <f t="shared" si="10"/>
        <v>9</v>
      </c>
      <c r="Y113" s="18">
        <f t="shared" si="6"/>
        <v>4</v>
      </c>
    </row>
    <row r="114" spans="1:25" ht="21.75" customHeight="1" x14ac:dyDescent="0.35">
      <c r="A114" s="19">
        <v>2025</v>
      </c>
      <c r="B114" s="75" t="s">
        <v>379</v>
      </c>
      <c r="C114" s="76" t="s">
        <v>380</v>
      </c>
      <c r="D114" s="20" t="s">
        <v>86</v>
      </c>
      <c r="E114" s="21" t="s">
        <v>44</v>
      </c>
      <c r="F114" s="77" t="s">
        <v>308</v>
      </c>
      <c r="G114" s="28"/>
      <c r="H114" s="23"/>
      <c r="I114" s="24"/>
      <c r="J114" s="14"/>
      <c r="K114" s="33" t="s">
        <v>169</v>
      </c>
      <c r="L114" s="14"/>
      <c r="M114" s="33" t="s">
        <v>169</v>
      </c>
      <c r="N114" s="33" t="s">
        <v>169</v>
      </c>
      <c r="O114" s="33" t="s">
        <v>169</v>
      </c>
      <c r="P114" s="33" t="s">
        <v>169</v>
      </c>
      <c r="Q114" s="33" t="s">
        <v>169</v>
      </c>
      <c r="R114" s="33" t="s">
        <v>169</v>
      </c>
      <c r="S114" s="13" t="s">
        <v>39</v>
      </c>
      <c r="T114" s="25" t="s">
        <v>381</v>
      </c>
      <c r="U114" s="19"/>
      <c r="V114" s="26" t="str">
        <f t="shared" si="7"/>
        <v/>
      </c>
      <c r="W114" s="27" t="str">
        <f t="shared" si="8"/>
        <v>STAND BY</v>
      </c>
      <c r="X114" s="18">
        <f t="shared" si="10"/>
        <v>0</v>
      </c>
      <c r="Y114" s="18">
        <f t="shared" si="6"/>
        <v>0</v>
      </c>
    </row>
    <row r="115" spans="1:25" ht="21.75" customHeight="1" x14ac:dyDescent="0.35">
      <c r="A115" s="5">
        <v>2024</v>
      </c>
      <c r="B115" s="73" t="s">
        <v>382</v>
      </c>
      <c r="C115" s="74" t="s">
        <v>383</v>
      </c>
      <c r="D115" s="8" t="s">
        <v>35</v>
      </c>
      <c r="E115" s="9" t="s">
        <v>36</v>
      </c>
      <c r="F115" s="77" t="s">
        <v>74</v>
      </c>
      <c r="G115" s="29"/>
      <c r="H115" s="11" t="s">
        <v>37</v>
      </c>
      <c r="I115" s="12" t="s">
        <v>384</v>
      </c>
      <c r="J115" s="13" t="s">
        <v>39</v>
      </c>
      <c r="K115" s="79" t="s">
        <v>41</v>
      </c>
      <c r="L115" s="79" t="s">
        <v>41</v>
      </c>
      <c r="M115" s="13" t="s">
        <v>39</v>
      </c>
      <c r="N115" s="13" t="s">
        <v>39</v>
      </c>
      <c r="O115" s="13" t="s">
        <v>39</v>
      </c>
      <c r="P115" s="79" t="s">
        <v>41</v>
      </c>
      <c r="Q115" s="79" t="s">
        <v>41</v>
      </c>
      <c r="R115" s="79" t="s">
        <v>41</v>
      </c>
      <c r="S115" s="13" t="s">
        <v>39</v>
      </c>
      <c r="T115" s="15" t="s">
        <v>385</v>
      </c>
      <c r="U115" s="30">
        <v>45819</v>
      </c>
      <c r="V115" s="26">
        <f t="shared" si="7"/>
        <v>1</v>
      </c>
      <c r="W115" s="27" t="str">
        <f t="shared" si="8"/>
        <v>CONFORME</v>
      </c>
      <c r="X115" s="18">
        <f t="shared" si="10"/>
        <v>5</v>
      </c>
      <c r="Y115" s="18">
        <f t="shared" si="6"/>
        <v>5</v>
      </c>
    </row>
    <row r="116" spans="1:25" ht="21.75" customHeight="1" x14ac:dyDescent="0.35">
      <c r="A116" s="19">
        <v>2024</v>
      </c>
      <c r="B116" s="75" t="s">
        <v>386</v>
      </c>
      <c r="C116" s="76" t="s">
        <v>387</v>
      </c>
      <c r="D116" s="20" t="s">
        <v>35</v>
      </c>
      <c r="E116" s="21" t="s">
        <v>36</v>
      </c>
      <c r="F116" s="77" t="s">
        <v>74</v>
      </c>
      <c r="G116" s="28"/>
      <c r="H116" s="23" t="s">
        <v>45</v>
      </c>
      <c r="I116" s="24" t="s">
        <v>186</v>
      </c>
      <c r="J116" s="13" t="s">
        <v>39</v>
      </c>
      <c r="K116" s="79" t="s">
        <v>41</v>
      </c>
      <c r="L116" s="78" t="s">
        <v>40</v>
      </c>
      <c r="M116" s="13" t="s">
        <v>39</v>
      </c>
      <c r="N116" s="13" t="s">
        <v>39</v>
      </c>
      <c r="O116" s="13" t="s">
        <v>39</v>
      </c>
      <c r="P116" s="79" t="s">
        <v>41</v>
      </c>
      <c r="Q116" s="79" t="s">
        <v>41</v>
      </c>
      <c r="R116" s="79" t="s">
        <v>41</v>
      </c>
      <c r="S116" s="13" t="s">
        <v>39</v>
      </c>
      <c r="T116" s="25" t="s">
        <v>388</v>
      </c>
      <c r="U116" s="31">
        <v>45978</v>
      </c>
      <c r="V116" s="26">
        <f t="shared" si="7"/>
        <v>0.8</v>
      </c>
      <c r="W116" s="27" t="str">
        <f t="shared" si="8"/>
        <v>ALERTA</v>
      </c>
      <c r="X116" s="18">
        <f t="shared" si="10"/>
        <v>5</v>
      </c>
      <c r="Y116" s="18">
        <f t="shared" si="6"/>
        <v>4</v>
      </c>
    </row>
    <row r="117" spans="1:25" ht="21.75" customHeight="1" x14ac:dyDescent="0.35">
      <c r="A117" s="5">
        <v>2024</v>
      </c>
      <c r="B117" s="73" t="s">
        <v>389</v>
      </c>
      <c r="C117" s="74" t="s">
        <v>390</v>
      </c>
      <c r="D117" s="8" t="s">
        <v>35</v>
      </c>
      <c r="E117" s="9" t="s">
        <v>120</v>
      </c>
      <c r="F117" s="77" t="s">
        <v>74</v>
      </c>
      <c r="G117" s="29"/>
      <c r="H117" s="11" t="s">
        <v>228</v>
      </c>
      <c r="I117" s="12" t="s">
        <v>391</v>
      </c>
      <c r="J117" s="13" t="s">
        <v>39</v>
      </c>
      <c r="K117" s="78" t="s">
        <v>40</v>
      </c>
      <c r="L117" s="79" t="s">
        <v>41</v>
      </c>
      <c r="M117" s="13" t="s">
        <v>39</v>
      </c>
      <c r="N117" s="13" t="s">
        <v>39</v>
      </c>
      <c r="O117" s="13" t="s">
        <v>39</v>
      </c>
      <c r="P117" s="78" t="s">
        <v>40</v>
      </c>
      <c r="Q117" s="13" t="s">
        <v>39</v>
      </c>
      <c r="R117" s="79" t="s">
        <v>41</v>
      </c>
      <c r="S117" s="13" t="s">
        <v>39</v>
      </c>
      <c r="T117" s="15" t="s">
        <v>392</v>
      </c>
      <c r="U117" s="30">
        <v>45980</v>
      </c>
      <c r="V117" s="26">
        <f t="shared" si="7"/>
        <v>0.5</v>
      </c>
      <c r="W117" s="27" t="str">
        <f t="shared" si="8"/>
        <v>ALERTA</v>
      </c>
      <c r="X117" s="18">
        <f t="shared" si="10"/>
        <v>4</v>
      </c>
      <c r="Y117" s="18">
        <f t="shared" si="6"/>
        <v>2</v>
      </c>
    </row>
    <row r="118" spans="1:25" ht="21.75" customHeight="1" x14ac:dyDescent="0.35">
      <c r="A118" s="19">
        <v>2024</v>
      </c>
      <c r="B118" s="75" t="s">
        <v>393</v>
      </c>
      <c r="C118" s="76" t="s">
        <v>394</v>
      </c>
      <c r="D118" s="20" t="s">
        <v>35</v>
      </c>
      <c r="E118" s="21" t="s">
        <v>53</v>
      </c>
      <c r="F118" s="77" t="s">
        <v>74</v>
      </c>
      <c r="G118" s="28"/>
      <c r="H118" s="23" t="s">
        <v>395</v>
      </c>
      <c r="I118" s="24"/>
      <c r="J118" s="13" t="s">
        <v>39</v>
      </c>
      <c r="K118" s="78" t="s">
        <v>40</v>
      </c>
      <c r="L118" s="79" t="s">
        <v>41</v>
      </c>
      <c r="M118" s="78" t="s">
        <v>40</v>
      </c>
      <c r="N118" s="78" t="s">
        <v>40</v>
      </c>
      <c r="O118" s="13" t="s">
        <v>39</v>
      </c>
      <c r="P118" s="13" t="s">
        <v>39</v>
      </c>
      <c r="Q118" s="13" t="s">
        <v>39</v>
      </c>
      <c r="R118" s="13" t="s">
        <v>39</v>
      </c>
      <c r="S118" s="78" t="s">
        <v>40</v>
      </c>
      <c r="T118" s="25" t="s">
        <v>396</v>
      </c>
      <c r="U118" s="31">
        <v>45729</v>
      </c>
      <c r="V118" s="26">
        <f t="shared" si="7"/>
        <v>0.2</v>
      </c>
      <c r="W118" s="27" t="str">
        <f t="shared" si="8"/>
        <v>CRITICO</v>
      </c>
      <c r="X118" s="18">
        <f t="shared" si="10"/>
        <v>5</v>
      </c>
      <c r="Y118" s="18">
        <f t="shared" si="6"/>
        <v>1</v>
      </c>
    </row>
    <row r="119" spans="1:25" ht="21.75" customHeight="1" x14ac:dyDescent="0.35">
      <c r="A119" s="5">
        <v>2024</v>
      </c>
      <c r="B119" s="73" t="s">
        <v>397</v>
      </c>
      <c r="C119" s="74" t="s">
        <v>398</v>
      </c>
      <c r="D119" s="8" t="s">
        <v>35</v>
      </c>
      <c r="E119" s="9" t="s">
        <v>53</v>
      </c>
      <c r="F119" s="77" t="s">
        <v>74</v>
      </c>
      <c r="G119" s="29"/>
      <c r="H119" s="11" t="s">
        <v>45</v>
      </c>
      <c r="I119" s="12"/>
      <c r="J119" s="13" t="s">
        <v>39</v>
      </c>
      <c r="K119" s="13" t="s">
        <v>39</v>
      </c>
      <c r="L119" s="79" t="s">
        <v>41</v>
      </c>
      <c r="M119" s="13" t="s">
        <v>39</v>
      </c>
      <c r="N119" s="13" t="s">
        <v>39</v>
      </c>
      <c r="O119" s="13" t="s">
        <v>39</v>
      </c>
      <c r="P119" s="13" t="s">
        <v>39</v>
      </c>
      <c r="Q119" s="13" t="s">
        <v>39</v>
      </c>
      <c r="R119" s="13" t="s">
        <v>39</v>
      </c>
      <c r="S119" s="13" t="s">
        <v>39</v>
      </c>
      <c r="T119" s="15" t="s">
        <v>399</v>
      </c>
      <c r="U119" s="30">
        <v>45810</v>
      </c>
      <c r="V119" s="26">
        <f t="shared" si="7"/>
        <v>1</v>
      </c>
      <c r="W119" s="27" t="str">
        <f t="shared" si="8"/>
        <v>CONFORME</v>
      </c>
      <c r="X119" s="18">
        <f t="shared" si="10"/>
        <v>1</v>
      </c>
      <c r="Y119" s="18">
        <f t="shared" si="6"/>
        <v>1</v>
      </c>
    </row>
    <row r="120" spans="1:25" ht="21.75" customHeight="1" x14ac:dyDescent="0.35">
      <c r="A120" s="19">
        <v>2025</v>
      </c>
      <c r="B120" s="75" t="s">
        <v>400</v>
      </c>
      <c r="C120" s="76" t="s">
        <v>401</v>
      </c>
      <c r="D120" s="20" t="s">
        <v>86</v>
      </c>
      <c r="E120" s="21" t="s">
        <v>145</v>
      </c>
      <c r="F120" s="77" t="s">
        <v>89</v>
      </c>
      <c r="G120" s="28"/>
      <c r="H120" s="23" t="s">
        <v>45</v>
      </c>
      <c r="I120" s="24"/>
      <c r="J120" s="78" t="s">
        <v>40</v>
      </c>
      <c r="K120" s="78" t="s">
        <v>40</v>
      </c>
      <c r="L120" s="78" t="s">
        <v>40</v>
      </c>
      <c r="M120" s="79" t="s">
        <v>41</v>
      </c>
      <c r="N120" s="79" t="s">
        <v>41</v>
      </c>
      <c r="O120" s="79" t="s">
        <v>41</v>
      </c>
      <c r="P120" s="13" t="s">
        <v>39</v>
      </c>
      <c r="Q120" s="13" t="s">
        <v>39</v>
      </c>
      <c r="R120" s="79" t="s">
        <v>41</v>
      </c>
      <c r="S120" s="78" t="s">
        <v>40</v>
      </c>
      <c r="T120" s="25" t="s">
        <v>402</v>
      </c>
      <c r="U120" s="31">
        <v>45978</v>
      </c>
      <c r="V120" s="26">
        <f t="shared" si="7"/>
        <v>0.5</v>
      </c>
      <c r="W120" s="27" t="str">
        <f t="shared" si="8"/>
        <v>ALERTA</v>
      </c>
      <c r="X120" s="18">
        <f t="shared" si="10"/>
        <v>8</v>
      </c>
      <c r="Y120" s="18">
        <f t="shared" si="6"/>
        <v>4</v>
      </c>
    </row>
    <row r="121" spans="1:25" ht="21.75" customHeight="1" x14ac:dyDescent="0.35">
      <c r="A121" s="5">
        <v>2024</v>
      </c>
      <c r="B121" s="73" t="s">
        <v>403</v>
      </c>
      <c r="C121" s="74" t="s">
        <v>404</v>
      </c>
      <c r="D121" s="8" t="s">
        <v>35</v>
      </c>
      <c r="E121" s="9" t="s">
        <v>36</v>
      </c>
      <c r="F121" s="77" t="s">
        <v>74</v>
      </c>
      <c r="G121" s="29"/>
      <c r="H121" s="11" t="s">
        <v>228</v>
      </c>
      <c r="I121" s="12" t="s">
        <v>405</v>
      </c>
      <c r="J121" s="13" t="s">
        <v>39</v>
      </c>
      <c r="K121" s="79" t="s">
        <v>41</v>
      </c>
      <c r="L121" s="79" t="s">
        <v>41</v>
      </c>
      <c r="M121" s="13" t="s">
        <v>39</v>
      </c>
      <c r="N121" s="13" t="s">
        <v>39</v>
      </c>
      <c r="O121" s="13" t="s">
        <v>39</v>
      </c>
      <c r="P121" s="79" t="s">
        <v>41</v>
      </c>
      <c r="Q121" s="13" t="s">
        <v>39</v>
      </c>
      <c r="R121" s="79" t="s">
        <v>41</v>
      </c>
      <c r="S121" s="13" t="s">
        <v>39</v>
      </c>
      <c r="T121" s="15" t="s">
        <v>406</v>
      </c>
      <c r="U121" s="30">
        <v>45980</v>
      </c>
      <c r="V121" s="26">
        <f t="shared" si="7"/>
        <v>1</v>
      </c>
      <c r="W121" s="27" t="str">
        <f t="shared" si="8"/>
        <v>CONFORME</v>
      </c>
      <c r="X121" s="18">
        <f t="shared" si="10"/>
        <v>4</v>
      </c>
      <c r="Y121" s="18">
        <f t="shared" si="6"/>
        <v>4</v>
      </c>
    </row>
    <row r="122" spans="1:25" ht="21.75" customHeight="1" x14ac:dyDescent="0.35">
      <c r="A122" s="19">
        <v>2024</v>
      </c>
      <c r="B122" s="75" t="s">
        <v>407</v>
      </c>
      <c r="C122" s="76" t="s">
        <v>408</v>
      </c>
      <c r="D122" s="20" t="s">
        <v>35</v>
      </c>
      <c r="E122" s="21" t="s">
        <v>36</v>
      </c>
      <c r="F122" s="77" t="s">
        <v>74</v>
      </c>
      <c r="G122" s="28"/>
      <c r="H122" s="23" t="s">
        <v>37</v>
      </c>
      <c r="I122" s="24" t="s">
        <v>409</v>
      </c>
      <c r="J122" s="13" t="s">
        <v>39</v>
      </c>
      <c r="K122" s="79" t="s">
        <v>41</v>
      </c>
      <c r="L122" s="79" t="s">
        <v>41</v>
      </c>
      <c r="M122" s="13" t="s">
        <v>39</v>
      </c>
      <c r="N122" s="13" t="s">
        <v>39</v>
      </c>
      <c r="O122" s="13" t="s">
        <v>39</v>
      </c>
      <c r="P122" s="79" t="s">
        <v>41</v>
      </c>
      <c r="Q122" s="13" t="s">
        <v>39</v>
      </c>
      <c r="R122" s="79" t="s">
        <v>41</v>
      </c>
      <c r="S122" s="13" t="s">
        <v>39</v>
      </c>
      <c r="T122" s="25" t="s">
        <v>410</v>
      </c>
      <c r="U122" s="31">
        <v>45721</v>
      </c>
      <c r="V122" s="26">
        <f t="shared" si="7"/>
        <v>1</v>
      </c>
      <c r="W122" s="27" t="str">
        <f t="shared" si="8"/>
        <v>CONFORME</v>
      </c>
      <c r="X122" s="18">
        <f t="shared" si="10"/>
        <v>4</v>
      </c>
      <c r="Y122" s="18">
        <f t="shared" si="6"/>
        <v>4</v>
      </c>
    </row>
    <row r="123" spans="1:25" ht="21.75" customHeight="1" x14ac:dyDescent="0.35">
      <c r="A123" s="5">
        <v>2025</v>
      </c>
      <c r="B123" s="73" t="s">
        <v>411</v>
      </c>
      <c r="C123" s="74" t="s">
        <v>412</v>
      </c>
      <c r="D123" s="8" t="s">
        <v>35</v>
      </c>
      <c r="E123" s="9" t="s">
        <v>145</v>
      </c>
      <c r="F123" s="77" t="s">
        <v>74</v>
      </c>
      <c r="G123" s="29"/>
      <c r="H123" s="11" t="s">
        <v>57</v>
      </c>
      <c r="I123" s="12"/>
      <c r="J123" s="13" t="s">
        <v>39</v>
      </c>
      <c r="K123" s="78" t="s">
        <v>40</v>
      </c>
      <c r="L123" s="78" t="s">
        <v>40</v>
      </c>
      <c r="M123" s="78" t="s">
        <v>40</v>
      </c>
      <c r="N123" s="78" t="s">
        <v>40</v>
      </c>
      <c r="O123" s="13" t="s">
        <v>39</v>
      </c>
      <c r="P123" s="79" t="s">
        <v>41</v>
      </c>
      <c r="Q123" s="13" t="s">
        <v>39</v>
      </c>
      <c r="R123" s="79" t="s">
        <v>41</v>
      </c>
      <c r="S123" s="78" t="s">
        <v>40</v>
      </c>
      <c r="T123" s="15" t="s">
        <v>254</v>
      </c>
      <c r="U123" s="30">
        <v>45798</v>
      </c>
      <c r="V123" s="26">
        <f t="shared" si="7"/>
        <v>0.2857142857142857</v>
      </c>
      <c r="W123" s="27" t="str">
        <f t="shared" si="8"/>
        <v>CRITICO</v>
      </c>
      <c r="X123" s="18">
        <f t="shared" si="10"/>
        <v>7</v>
      </c>
      <c r="Y123" s="18">
        <f t="shared" si="6"/>
        <v>2</v>
      </c>
    </row>
    <row r="124" spans="1:25" ht="21.75" customHeight="1" x14ac:dyDescent="0.35">
      <c r="A124" s="19">
        <v>2025</v>
      </c>
      <c r="B124" s="75" t="s">
        <v>413</v>
      </c>
      <c r="C124" s="76" t="s">
        <v>414</v>
      </c>
      <c r="D124" s="20" t="s">
        <v>35</v>
      </c>
      <c r="E124" s="21" t="s">
        <v>36</v>
      </c>
      <c r="F124" s="77" t="s">
        <v>74</v>
      </c>
      <c r="G124" s="28"/>
      <c r="H124" s="23" t="s">
        <v>245</v>
      </c>
      <c r="I124" s="24" t="s">
        <v>415</v>
      </c>
      <c r="J124" s="13" t="s">
        <v>39</v>
      </c>
      <c r="K124" s="33" t="s">
        <v>169</v>
      </c>
      <c r="L124" s="79" t="s">
        <v>41</v>
      </c>
      <c r="M124" s="13" t="s">
        <v>39</v>
      </c>
      <c r="N124" s="13" t="s">
        <v>39</v>
      </c>
      <c r="O124" s="13" t="s">
        <v>39</v>
      </c>
      <c r="P124" s="79" t="s">
        <v>41</v>
      </c>
      <c r="Q124" s="13" t="s">
        <v>39</v>
      </c>
      <c r="R124" s="33" t="s">
        <v>169</v>
      </c>
      <c r="S124" s="13" t="s">
        <v>39</v>
      </c>
      <c r="T124" s="25" t="s">
        <v>416</v>
      </c>
      <c r="U124" s="31">
        <v>45840</v>
      </c>
      <c r="V124" s="26">
        <f t="shared" si="7"/>
        <v>1</v>
      </c>
      <c r="W124" s="27" t="str">
        <f t="shared" si="8"/>
        <v>CONFORME</v>
      </c>
      <c r="X124" s="18">
        <f t="shared" si="10"/>
        <v>2</v>
      </c>
      <c r="Y124" s="18">
        <f t="shared" si="6"/>
        <v>2</v>
      </c>
    </row>
    <row r="125" spans="1:25" ht="21.75" customHeight="1" x14ac:dyDescent="0.35">
      <c r="A125" s="5">
        <v>2025</v>
      </c>
      <c r="B125" s="73" t="s">
        <v>417</v>
      </c>
      <c r="C125" s="74" t="s">
        <v>418</v>
      </c>
      <c r="D125" s="8" t="s">
        <v>35</v>
      </c>
      <c r="E125" s="9" t="s">
        <v>36</v>
      </c>
      <c r="F125" s="77" t="s">
        <v>74</v>
      </c>
      <c r="G125" s="29"/>
      <c r="H125" s="11" t="s">
        <v>245</v>
      </c>
      <c r="I125" s="12" t="s">
        <v>415</v>
      </c>
      <c r="J125" s="13" t="s">
        <v>39</v>
      </c>
      <c r="K125" s="33" t="s">
        <v>169</v>
      </c>
      <c r="L125" s="79" t="s">
        <v>41</v>
      </c>
      <c r="M125" s="13" t="s">
        <v>39</v>
      </c>
      <c r="N125" s="13" t="s">
        <v>39</v>
      </c>
      <c r="O125" s="13" t="s">
        <v>39</v>
      </c>
      <c r="P125" s="79" t="s">
        <v>41</v>
      </c>
      <c r="Q125" s="79" t="s">
        <v>41</v>
      </c>
      <c r="R125" s="33" t="s">
        <v>169</v>
      </c>
      <c r="S125" s="13" t="s">
        <v>39</v>
      </c>
      <c r="T125" s="15" t="s">
        <v>419</v>
      </c>
      <c r="U125" s="30">
        <v>45840</v>
      </c>
      <c r="V125" s="26">
        <f t="shared" si="7"/>
        <v>1</v>
      </c>
      <c r="W125" s="27" t="str">
        <f t="shared" si="8"/>
        <v>CONFORME</v>
      </c>
      <c r="X125" s="18">
        <f t="shared" si="10"/>
        <v>3</v>
      </c>
      <c r="Y125" s="18">
        <f t="shared" si="6"/>
        <v>3</v>
      </c>
    </row>
    <row r="126" spans="1:25" ht="21.75" customHeight="1" x14ac:dyDescent="0.35">
      <c r="A126" s="19">
        <v>2025</v>
      </c>
      <c r="B126" s="75" t="s">
        <v>420</v>
      </c>
      <c r="C126" s="76" t="s">
        <v>421</v>
      </c>
      <c r="D126" s="20" t="s">
        <v>35</v>
      </c>
      <c r="E126" s="21" t="s">
        <v>36</v>
      </c>
      <c r="F126" s="77" t="s">
        <v>74</v>
      </c>
      <c r="G126" s="28"/>
      <c r="H126" s="23" t="s">
        <v>245</v>
      </c>
      <c r="I126" s="24" t="s">
        <v>415</v>
      </c>
      <c r="J126" s="13" t="s">
        <v>39</v>
      </c>
      <c r="K126" s="78" t="s">
        <v>40</v>
      </c>
      <c r="L126" s="33" t="s">
        <v>169</v>
      </c>
      <c r="M126" s="33" t="s">
        <v>169</v>
      </c>
      <c r="N126" s="13" t="s">
        <v>39</v>
      </c>
      <c r="O126" s="13" t="s">
        <v>39</v>
      </c>
      <c r="P126" s="79" t="s">
        <v>41</v>
      </c>
      <c r="Q126" s="13" t="s">
        <v>39</v>
      </c>
      <c r="R126" s="79" t="s">
        <v>41</v>
      </c>
      <c r="S126" s="33" t="s">
        <v>169</v>
      </c>
      <c r="T126" s="25" t="s">
        <v>422</v>
      </c>
      <c r="U126" s="31">
        <v>45840</v>
      </c>
      <c r="V126" s="26">
        <f t="shared" si="7"/>
        <v>0.66666666666666663</v>
      </c>
      <c r="W126" s="27" t="str">
        <f t="shared" si="8"/>
        <v>ALERTA</v>
      </c>
      <c r="X126" s="18">
        <f t="shared" si="10"/>
        <v>3</v>
      </c>
      <c r="Y126" s="18">
        <f t="shared" si="6"/>
        <v>2</v>
      </c>
    </row>
    <row r="127" spans="1:25" ht="21.75" customHeight="1" x14ac:dyDescent="0.35">
      <c r="A127" s="5">
        <v>2024</v>
      </c>
      <c r="B127" s="73" t="s">
        <v>423</v>
      </c>
      <c r="C127" s="74" t="s">
        <v>424</v>
      </c>
      <c r="D127" s="8" t="s">
        <v>35</v>
      </c>
      <c r="E127" s="9" t="s">
        <v>92</v>
      </c>
      <c r="F127" s="77" t="s">
        <v>74</v>
      </c>
      <c r="G127" s="29"/>
      <c r="H127" s="11" t="s">
        <v>353</v>
      </c>
      <c r="I127" s="12"/>
      <c r="J127" s="13" t="s">
        <v>39</v>
      </c>
      <c r="K127" s="79" t="s">
        <v>41</v>
      </c>
      <c r="L127" s="79" t="s">
        <v>41</v>
      </c>
      <c r="M127" s="13" t="s">
        <v>39</v>
      </c>
      <c r="N127" s="13" t="s">
        <v>39</v>
      </c>
      <c r="O127" s="13" t="s">
        <v>39</v>
      </c>
      <c r="P127" s="13" t="s">
        <v>39</v>
      </c>
      <c r="Q127" s="13" t="s">
        <v>39</v>
      </c>
      <c r="R127" s="79" t="s">
        <v>41</v>
      </c>
      <c r="S127" s="78" t="s">
        <v>40</v>
      </c>
      <c r="T127" s="15" t="s">
        <v>425</v>
      </c>
      <c r="U127" s="30">
        <v>45527</v>
      </c>
      <c r="V127" s="26">
        <f t="shared" si="7"/>
        <v>0.75</v>
      </c>
      <c r="W127" s="27" t="str">
        <f t="shared" si="8"/>
        <v>ALERTA</v>
      </c>
      <c r="X127" s="18">
        <f t="shared" si="10"/>
        <v>4</v>
      </c>
      <c r="Y127" s="18">
        <f t="shared" si="6"/>
        <v>3</v>
      </c>
    </row>
    <row r="128" spans="1:25" ht="21.75" customHeight="1" x14ac:dyDescent="0.35">
      <c r="A128" s="19">
        <v>2024</v>
      </c>
      <c r="B128" s="75" t="s">
        <v>426</v>
      </c>
      <c r="C128" s="76" t="s">
        <v>427</v>
      </c>
      <c r="D128" s="20" t="s">
        <v>35</v>
      </c>
      <c r="E128" s="21" t="s">
        <v>53</v>
      </c>
      <c r="F128" s="77" t="s">
        <v>74</v>
      </c>
      <c r="G128" s="28"/>
      <c r="H128" s="23" t="s">
        <v>428</v>
      </c>
      <c r="I128" s="24"/>
      <c r="J128" s="13" t="s">
        <v>39</v>
      </c>
      <c r="K128" s="79" t="s">
        <v>41</v>
      </c>
      <c r="L128" s="78" t="s">
        <v>40</v>
      </c>
      <c r="M128" s="13" t="s">
        <v>39</v>
      </c>
      <c r="N128" s="13" t="s">
        <v>39</v>
      </c>
      <c r="O128" s="13" t="s">
        <v>39</v>
      </c>
      <c r="P128" s="13" t="s">
        <v>39</v>
      </c>
      <c r="Q128" s="13" t="s">
        <v>39</v>
      </c>
      <c r="R128" s="79" t="s">
        <v>41</v>
      </c>
      <c r="S128" s="13" t="s">
        <v>39</v>
      </c>
      <c r="T128" s="25" t="s">
        <v>254</v>
      </c>
      <c r="U128" s="19"/>
      <c r="V128" s="26">
        <f t="shared" si="7"/>
        <v>0.66666666666666663</v>
      </c>
      <c r="W128" s="27" t="str">
        <f t="shared" si="8"/>
        <v>ALERTA</v>
      </c>
      <c r="X128" s="18">
        <f t="shared" si="10"/>
        <v>3</v>
      </c>
      <c r="Y128" s="18">
        <f t="shared" si="6"/>
        <v>2</v>
      </c>
    </row>
    <row r="129" spans="1:25" ht="21.75" customHeight="1" x14ac:dyDescent="0.35">
      <c r="A129" s="5">
        <v>2024</v>
      </c>
      <c r="B129" s="73" t="s">
        <v>429</v>
      </c>
      <c r="C129" s="74" t="s">
        <v>430</v>
      </c>
      <c r="D129" s="8" t="s">
        <v>35</v>
      </c>
      <c r="E129" s="9" t="s">
        <v>120</v>
      </c>
      <c r="F129" s="77" t="s">
        <v>74</v>
      </c>
      <c r="G129" s="29"/>
      <c r="H129" s="11" t="s">
        <v>228</v>
      </c>
      <c r="I129" s="12" t="s">
        <v>431</v>
      </c>
      <c r="J129" s="13" t="s">
        <v>39</v>
      </c>
      <c r="K129" s="79" t="s">
        <v>41</v>
      </c>
      <c r="L129" s="35" t="s">
        <v>283</v>
      </c>
      <c r="M129" s="13" t="s">
        <v>39</v>
      </c>
      <c r="N129" s="13" t="s">
        <v>39</v>
      </c>
      <c r="O129" s="13" t="s">
        <v>39</v>
      </c>
      <c r="P129" s="78" t="s">
        <v>40</v>
      </c>
      <c r="Q129" s="79" t="s">
        <v>41</v>
      </c>
      <c r="R129" s="33" t="s">
        <v>169</v>
      </c>
      <c r="S129" s="78" t="s">
        <v>40</v>
      </c>
      <c r="T129" s="15" t="s">
        <v>432</v>
      </c>
      <c r="U129" s="30">
        <v>45980</v>
      </c>
      <c r="V129" s="26">
        <f t="shared" si="7"/>
        <v>0.5</v>
      </c>
      <c r="W129" s="27" t="str">
        <f t="shared" si="8"/>
        <v>ALERTA</v>
      </c>
      <c r="X129" s="18">
        <f t="shared" si="10"/>
        <v>5</v>
      </c>
      <c r="Y129" s="18">
        <f t="shared" si="6"/>
        <v>2.5</v>
      </c>
    </row>
    <row r="130" spans="1:25" ht="21.75" customHeight="1" x14ac:dyDescent="0.35">
      <c r="A130" s="19">
        <v>2024</v>
      </c>
      <c r="B130" s="75" t="s">
        <v>433</v>
      </c>
      <c r="C130" s="76" t="s">
        <v>434</v>
      </c>
      <c r="D130" s="20" t="s">
        <v>35</v>
      </c>
      <c r="E130" s="21" t="s">
        <v>120</v>
      </c>
      <c r="F130" s="77" t="s">
        <v>74</v>
      </c>
      <c r="G130" s="28"/>
      <c r="H130" s="23" t="s">
        <v>228</v>
      </c>
      <c r="I130" s="24" t="s">
        <v>435</v>
      </c>
      <c r="J130" s="13" t="s">
        <v>39</v>
      </c>
      <c r="K130" s="79" t="s">
        <v>41</v>
      </c>
      <c r="L130" s="35" t="s">
        <v>283</v>
      </c>
      <c r="M130" s="13" t="s">
        <v>39</v>
      </c>
      <c r="N130" s="13" t="s">
        <v>39</v>
      </c>
      <c r="O130" s="13" t="s">
        <v>39</v>
      </c>
      <c r="P130" s="78" t="s">
        <v>40</v>
      </c>
      <c r="Q130" s="79" t="s">
        <v>41</v>
      </c>
      <c r="R130" s="79" t="s">
        <v>41</v>
      </c>
      <c r="S130" s="13" t="s">
        <v>39</v>
      </c>
      <c r="T130" s="25" t="s">
        <v>436</v>
      </c>
      <c r="U130" s="31">
        <v>45980</v>
      </c>
      <c r="V130" s="26">
        <f t="shared" si="7"/>
        <v>0.7</v>
      </c>
      <c r="W130" s="27" t="str">
        <f t="shared" si="8"/>
        <v>ALERTA</v>
      </c>
      <c r="X130" s="18">
        <f t="shared" si="10"/>
        <v>5</v>
      </c>
      <c r="Y130" s="18">
        <f t="shared" si="6"/>
        <v>3.5</v>
      </c>
    </row>
    <row r="131" spans="1:25" ht="21.75" customHeight="1" x14ac:dyDescent="0.35">
      <c r="A131" s="5">
        <v>2025</v>
      </c>
      <c r="B131" s="73" t="s">
        <v>437</v>
      </c>
      <c r="C131" s="74" t="s">
        <v>438</v>
      </c>
      <c r="D131" s="8" t="s">
        <v>35</v>
      </c>
      <c r="E131" s="9" t="s">
        <v>53</v>
      </c>
      <c r="F131" s="77" t="s">
        <v>74</v>
      </c>
      <c r="G131" s="29"/>
      <c r="H131" s="11" t="s">
        <v>37</v>
      </c>
      <c r="I131" s="12"/>
      <c r="J131" s="13" t="s">
        <v>39</v>
      </c>
      <c r="K131" s="79" t="s">
        <v>41</v>
      </c>
      <c r="L131" s="35" t="s">
        <v>283</v>
      </c>
      <c r="M131" s="79" t="s">
        <v>41</v>
      </c>
      <c r="N131" s="79" t="s">
        <v>41</v>
      </c>
      <c r="O131" s="13" t="s">
        <v>39</v>
      </c>
      <c r="P131" s="13" t="s">
        <v>39</v>
      </c>
      <c r="Q131" s="79" t="s">
        <v>41</v>
      </c>
      <c r="R131" s="79" t="s">
        <v>41</v>
      </c>
      <c r="S131" s="78" t="s">
        <v>40</v>
      </c>
      <c r="T131" s="15" t="s">
        <v>439</v>
      </c>
      <c r="U131" s="30">
        <v>45975</v>
      </c>
      <c r="V131" s="26">
        <f t="shared" si="7"/>
        <v>0.7857142857142857</v>
      </c>
      <c r="W131" s="27" t="str">
        <f t="shared" si="8"/>
        <v>ALERTA</v>
      </c>
      <c r="X131" s="18">
        <f t="shared" si="10"/>
        <v>7</v>
      </c>
      <c r="Y131" s="18">
        <f t="shared" si="6"/>
        <v>5.5</v>
      </c>
    </row>
    <row r="132" spans="1:25" ht="21.75" customHeight="1" x14ac:dyDescent="0.35">
      <c r="A132" s="19">
        <v>2025</v>
      </c>
      <c r="B132" s="75" t="s">
        <v>440</v>
      </c>
      <c r="C132" s="76" t="s">
        <v>441</v>
      </c>
      <c r="D132" s="20" t="s">
        <v>35</v>
      </c>
      <c r="E132" s="21" t="s">
        <v>120</v>
      </c>
      <c r="F132" s="77" t="s">
        <v>74</v>
      </c>
      <c r="G132" s="28"/>
      <c r="H132" s="23" t="s">
        <v>49</v>
      </c>
      <c r="I132" s="24" t="s">
        <v>415</v>
      </c>
      <c r="J132" s="13" t="s">
        <v>39</v>
      </c>
      <c r="K132" s="78" t="s">
        <v>41</v>
      </c>
      <c r="L132" s="78" t="s">
        <v>41</v>
      </c>
      <c r="M132" s="13" t="s">
        <v>39</v>
      </c>
      <c r="N132" s="13" t="s">
        <v>39</v>
      </c>
      <c r="O132" s="13" t="s">
        <v>39</v>
      </c>
      <c r="P132" s="79" t="s">
        <v>41</v>
      </c>
      <c r="Q132" s="13" t="s">
        <v>39</v>
      </c>
      <c r="R132" s="79" t="s">
        <v>41</v>
      </c>
      <c r="S132" s="13" t="s">
        <v>39</v>
      </c>
      <c r="T132" s="25" t="s">
        <v>689</v>
      </c>
      <c r="U132" s="31">
        <v>46177</v>
      </c>
      <c r="V132" s="26">
        <f t="shared" si="7"/>
        <v>1</v>
      </c>
      <c r="W132" s="27" t="str">
        <f t="shared" si="8"/>
        <v>CONFORME</v>
      </c>
      <c r="X132" s="18">
        <f t="shared" si="10"/>
        <v>4</v>
      </c>
      <c r="Y132" s="18">
        <f t="shared" si="6"/>
        <v>4</v>
      </c>
    </row>
    <row r="133" spans="1:25" ht="21.75" customHeight="1" x14ac:dyDescent="0.35">
      <c r="A133" s="5">
        <v>2024</v>
      </c>
      <c r="B133" s="73" t="s">
        <v>442</v>
      </c>
      <c r="C133" s="74" t="s">
        <v>443</v>
      </c>
      <c r="D133" s="8" t="s">
        <v>35</v>
      </c>
      <c r="E133" s="9" t="s">
        <v>53</v>
      </c>
      <c r="F133" s="77" t="s">
        <v>74</v>
      </c>
      <c r="G133" s="29"/>
      <c r="H133" s="11" t="s">
        <v>37</v>
      </c>
      <c r="I133" s="12"/>
      <c r="J133" s="13" t="s">
        <v>39</v>
      </c>
      <c r="K133" s="79" t="s">
        <v>41</v>
      </c>
      <c r="L133" s="79" t="s">
        <v>41</v>
      </c>
      <c r="M133" s="13" t="s">
        <v>39</v>
      </c>
      <c r="N133" s="13" t="s">
        <v>39</v>
      </c>
      <c r="O133" s="13" t="s">
        <v>39</v>
      </c>
      <c r="P133" s="78" t="s">
        <v>40</v>
      </c>
      <c r="Q133" s="13" t="s">
        <v>39</v>
      </c>
      <c r="R133" s="79" t="s">
        <v>41</v>
      </c>
      <c r="S133" s="13" t="s">
        <v>39</v>
      </c>
      <c r="T133" s="15" t="s">
        <v>444</v>
      </c>
      <c r="U133" s="30">
        <v>45975</v>
      </c>
      <c r="V133" s="26">
        <f t="shared" si="7"/>
        <v>0.75</v>
      </c>
      <c r="W133" s="27" t="str">
        <f t="shared" si="8"/>
        <v>ALERTA</v>
      </c>
      <c r="X133" s="18">
        <f t="shared" si="10"/>
        <v>4</v>
      </c>
      <c r="Y133" s="18">
        <f t="shared" si="6"/>
        <v>3</v>
      </c>
    </row>
    <row r="134" spans="1:25" ht="21.75" customHeight="1" x14ac:dyDescent="0.35">
      <c r="A134" s="19">
        <v>2025</v>
      </c>
      <c r="B134" s="75" t="s">
        <v>445</v>
      </c>
      <c r="C134" s="76" t="s">
        <v>446</v>
      </c>
      <c r="D134" s="20" t="s">
        <v>35</v>
      </c>
      <c r="E134" s="21" t="s">
        <v>44</v>
      </c>
      <c r="F134" s="77" t="s">
        <v>74</v>
      </c>
      <c r="G134" s="28"/>
      <c r="H134" s="23" t="s">
        <v>37</v>
      </c>
      <c r="I134" s="24"/>
      <c r="J134" s="13" t="s">
        <v>39</v>
      </c>
      <c r="K134" s="32" t="s">
        <v>162</v>
      </c>
      <c r="L134" s="35" t="s">
        <v>283</v>
      </c>
      <c r="M134" s="78" t="s">
        <v>40</v>
      </c>
      <c r="N134" s="79" t="s">
        <v>41</v>
      </c>
      <c r="O134" s="13" t="s">
        <v>39</v>
      </c>
      <c r="P134" s="13" t="s">
        <v>39</v>
      </c>
      <c r="Q134" s="13" t="s">
        <v>39</v>
      </c>
      <c r="R134" s="79" t="s">
        <v>41</v>
      </c>
      <c r="S134" s="78" t="s">
        <v>40</v>
      </c>
      <c r="T134" s="25" t="s">
        <v>447</v>
      </c>
      <c r="U134" s="31">
        <v>45975</v>
      </c>
      <c r="V134" s="26">
        <f t="shared" si="7"/>
        <v>0.5</v>
      </c>
      <c r="W134" s="27" t="str">
        <f t="shared" si="8"/>
        <v>ALERTA</v>
      </c>
      <c r="X134" s="18">
        <f t="shared" si="10"/>
        <v>6</v>
      </c>
      <c r="Y134" s="18">
        <f t="shared" ref="Y134:Y185" si="11">COUNTIF(J134:S134,"OK")+COUNTIF(J134:S134,"EN PROCESO")*0.5</f>
        <v>2.5</v>
      </c>
    </row>
    <row r="135" spans="1:25" ht="21.75" customHeight="1" x14ac:dyDescent="0.35">
      <c r="A135" s="5">
        <v>2024</v>
      </c>
      <c r="B135" s="73" t="s">
        <v>448</v>
      </c>
      <c r="C135" s="74" t="s">
        <v>449</v>
      </c>
      <c r="D135" s="8" t="s">
        <v>35</v>
      </c>
      <c r="E135" s="9" t="s">
        <v>92</v>
      </c>
      <c r="F135" s="77" t="s">
        <v>74</v>
      </c>
      <c r="G135" s="29"/>
      <c r="H135" s="11" t="s">
        <v>329</v>
      </c>
      <c r="I135" s="12"/>
      <c r="J135" s="13" t="s">
        <v>39</v>
      </c>
      <c r="K135" s="79" t="s">
        <v>41</v>
      </c>
      <c r="L135" s="79" t="s">
        <v>41</v>
      </c>
      <c r="M135" s="13" t="s">
        <v>39</v>
      </c>
      <c r="N135" s="13" t="s">
        <v>39</v>
      </c>
      <c r="O135" s="13" t="s">
        <v>39</v>
      </c>
      <c r="P135" s="13" t="s">
        <v>39</v>
      </c>
      <c r="Q135" s="13" t="s">
        <v>39</v>
      </c>
      <c r="R135" s="79" t="s">
        <v>41</v>
      </c>
      <c r="S135" s="13" t="s">
        <v>39</v>
      </c>
      <c r="T135" s="15" t="s">
        <v>450</v>
      </c>
      <c r="U135" s="30">
        <v>45527</v>
      </c>
      <c r="V135" s="26">
        <f t="shared" si="7"/>
        <v>1</v>
      </c>
      <c r="W135" s="27" t="str">
        <f t="shared" si="8"/>
        <v>CONFORME</v>
      </c>
      <c r="X135" s="18">
        <f t="shared" si="10"/>
        <v>3</v>
      </c>
      <c r="Y135" s="18">
        <f t="shared" si="11"/>
        <v>3</v>
      </c>
    </row>
    <row r="136" spans="1:25" ht="21.75" customHeight="1" x14ac:dyDescent="0.35">
      <c r="A136" s="19">
        <v>2025</v>
      </c>
      <c r="B136" s="75" t="s">
        <v>451</v>
      </c>
      <c r="C136" s="76" t="s">
        <v>452</v>
      </c>
      <c r="D136" s="20" t="s">
        <v>86</v>
      </c>
      <c r="E136" s="21" t="s">
        <v>111</v>
      </c>
      <c r="F136" s="77" t="s">
        <v>74</v>
      </c>
      <c r="G136" s="28"/>
      <c r="H136" s="23" t="s">
        <v>49</v>
      </c>
      <c r="I136" s="24" t="s">
        <v>196</v>
      </c>
      <c r="J136" s="79" t="s">
        <v>41</v>
      </c>
      <c r="K136" s="78" t="s">
        <v>40</v>
      </c>
      <c r="L136" s="78" t="s">
        <v>40</v>
      </c>
      <c r="M136" s="13" t="s">
        <v>39</v>
      </c>
      <c r="N136" s="79" t="s">
        <v>41</v>
      </c>
      <c r="O136" s="78" t="s">
        <v>40</v>
      </c>
      <c r="P136" s="79" t="s">
        <v>41</v>
      </c>
      <c r="Q136" s="79" t="s">
        <v>41</v>
      </c>
      <c r="R136" s="79" t="s">
        <v>41</v>
      </c>
      <c r="S136" s="13" t="s">
        <v>39</v>
      </c>
      <c r="T136" s="25" t="s">
        <v>453</v>
      </c>
      <c r="U136" s="31">
        <v>45798</v>
      </c>
      <c r="V136" s="26">
        <f t="shared" ref="V136:V185" si="12">IFERROR((COUNTIF(J136:S136,"OK")+COUNTIF(J136:S136,"EN PROCESO")*0.5)/(10-COUNTIF(J136:S136,"NO APLICA")-COUNTIF(J136:S136,"DESCARTADA")-COUNTIF(J136:S136,"-")-COUNTIF(J136:S136,"")),"")</f>
        <v>0.625</v>
      </c>
      <c r="W136" s="27" t="str">
        <f t="shared" ref="W136:W185" si="13">IF(ISNUMBER(V136),IF(V136&gt;=0.9,"CONFORME",IF(V136&gt;=0.5,"ALERTA","CRITICO")),IF(F136="CANCELADO","CANCELADO",IF(F136="STAND BY","STAND BY",IF(F136="DESCARTADO","DESCARTADO","S/D"))))</f>
        <v>ALERTA</v>
      </c>
      <c r="X136" s="18">
        <f t="shared" si="10"/>
        <v>8</v>
      </c>
      <c r="Y136" s="18">
        <f t="shared" si="11"/>
        <v>5</v>
      </c>
    </row>
    <row r="137" spans="1:25" ht="21.75" customHeight="1" x14ac:dyDescent="0.35">
      <c r="A137" s="5">
        <v>2024</v>
      </c>
      <c r="B137" s="73" t="s">
        <v>454</v>
      </c>
      <c r="C137" s="74" t="s">
        <v>455</v>
      </c>
      <c r="D137" s="8" t="s">
        <v>48</v>
      </c>
      <c r="E137" s="9" t="s">
        <v>36</v>
      </c>
      <c r="F137" s="77" t="s">
        <v>74</v>
      </c>
      <c r="G137" s="29"/>
      <c r="H137" s="11" t="s">
        <v>37</v>
      </c>
      <c r="I137" s="12" t="s">
        <v>456</v>
      </c>
      <c r="J137" s="79" t="s">
        <v>41</v>
      </c>
      <c r="K137" s="79" t="s">
        <v>41</v>
      </c>
      <c r="L137" s="79" t="s">
        <v>41</v>
      </c>
      <c r="M137" s="13" t="s">
        <v>39</v>
      </c>
      <c r="N137" s="78" t="s">
        <v>40</v>
      </c>
      <c r="O137" s="78" t="s">
        <v>40</v>
      </c>
      <c r="P137" s="79" t="s">
        <v>41</v>
      </c>
      <c r="Q137" s="14"/>
      <c r="R137" s="79" t="s">
        <v>41</v>
      </c>
      <c r="S137" s="13" t="s">
        <v>39</v>
      </c>
      <c r="T137" s="15"/>
      <c r="U137" s="30">
        <v>45721</v>
      </c>
      <c r="V137" s="26">
        <f t="shared" si="12"/>
        <v>0.7142857142857143</v>
      </c>
      <c r="W137" s="27" t="str">
        <f t="shared" si="13"/>
        <v>ALERTA</v>
      </c>
      <c r="X137" s="18">
        <f t="shared" si="10"/>
        <v>7</v>
      </c>
      <c r="Y137" s="18">
        <f t="shared" si="11"/>
        <v>5</v>
      </c>
    </row>
    <row r="138" spans="1:25" ht="21.75" customHeight="1" x14ac:dyDescent="0.35">
      <c r="A138" s="19">
        <v>2024</v>
      </c>
      <c r="B138" s="75" t="s">
        <v>457</v>
      </c>
      <c r="C138" s="76" t="s">
        <v>458</v>
      </c>
      <c r="D138" s="20" t="s">
        <v>35</v>
      </c>
      <c r="E138" s="21" t="s">
        <v>36</v>
      </c>
      <c r="F138" s="77" t="s">
        <v>74</v>
      </c>
      <c r="G138" s="28"/>
      <c r="H138" s="23" t="s">
        <v>353</v>
      </c>
      <c r="I138" s="24" t="s">
        <v>344</v>
      </c>
      <c r="J138" s="13" t="s">
        <v>39</v>
      </c>
      <c r="K138" s="33" t="s">
        <v>169</v>
      </c>
      <c r="L138" s="79" t="s">
        <v>41</v>
      </c>
      <c r="M138" s="13" t="s">
        <v>39</v>
      </c>
      <c r="N138" s="13" t="s">
        <v>39</v>
      </c>
      <c r="O138" s="13" t="s">
        <v>39</v>
      </c>
      <c r="P138" s="79" t="s">
        <v>41</v>
      </c>
      <c r="Q138" s="79" t="s">
        <v>41</v>
      </c>
      <c r="R138" s="33" t="s">
        <v>169</v>
      </c>
      <c r="S138" s="13" t="s">
        <v>39</v>
      </c>
      <c r="T138" s="25" t="s">
        <v>459</v>
      </c>
      <c r="U138" s="31">
        <v>45728</v>
      </c>
      <c r="V138" s="26">
        <f t="shared" si="12"/>
        <v>1</v>
      </c>
      <c r="W138" s="27" t="str">
        <f t="shared" si="13"/>
        <v>CONFORME</v>
      </c>
      <c r="X138" s="18">
        <f t="shared" si="10"/>
        <v>3</v>
      </c>
      <c r="Y138" s="18">
        <f t="shared" si="11"/>
        <v>3</v>
      </c>
    </row>
    <row r="139" spans="1:25" ht="21.75" customHeight="1" x14ac:dyDescent="0.35">
      <c r="A139" s="5">
        <v>2024</v>
      </c>
      <c r="B139" s="73" t="s">
        <v>460</v>
      </c>
      <c r="C139" s="74" t="s">
        <v>461</v>
      </c>
      <c r="D139" s="8" t="s">
        <v>35</v>
      </c>
      <c r="E139" s="9" t="s">
        <v>36</v>
      </c>
      <c r="F139" s="77" t="s">
        <v>74</v>
      </c>
      <c r="G139" s="29"/>
      <c r="H139" s="11" t="s">
        <v>353</v>
      </c>
      <c r="I139" s="12" t="s">
        <v>344</v>
      </c>
      <c r="J139" s="13" t="s">
        <v>39</v>
      </c>
      <c r="K139" s="33" t="s">
        <v>169</v>
      </c>
      <c r="L139" s="79" t="s">
        <v>41</v>
      </c>
      <c r="M139" s="13" t="s">
        <v>39</v>
      </c>
      <c r="N139" s="13" t="s">
        <v>39</v>
      </c>
      <c r="O139" s="13" t="s">
        <v>39</v>
      </c>
      <c r="P139" s="79" t="s">
        <v>41</v>
      </c>
      <c r="Q139" s="13" t="s">
        <v>39</v>
      </c>
      <c r="R139" s="33" t="s">
        <v>169</v>
      </c>
      <c r="S139" s="13" t="s">
        <v>39</v>
      </c>
      <c r="T139" s="15" t="s">
        <v>459</v>
      </c>
      <c r="U139" s="30">
        <v>45728</v>
      </c>
      <c r="V139" s="26">
        <f t="shared" si="12"/>
        <v>1</v>
      </c>
      <c r="W139" s="27" t="str">
        <f t="shared" si="13"/>
        <v>CONFORME</v>
      </c>
      <c r="X139" s="18">
        <f t="shared" si="10"/>
        <v>2</v>
      </c>
      <c r="Y139" s="18">
        <f t="shared" si="11"/>
        <v>2</v>
      </c>
    </row>
    <row r="140" spans="1:25" ht="21.75" customHeight="1" x14ac:dyDescent="0.35">
      <c r="A140" s="19">
        <v>2024</v>
      </c>
      <c r="B140" s="75" t="s">
        <v>462</v>
      </c>
      <c r="C140" s="76" t="s">
        <v>463</v>
      </c>
      <c r="D140" s="20" t="s">
        <v>35</v>
      </c>
      <c r="E140" s="21" t="s">
        <v>36</v>
      </c>
      <c r="F140" s="77" t="s">
        <v>74</v>
      </c>
      <c r="G140" s="28"/>
      <c r="H140" s="23" t="s">
        <v>353</v>
      </c>
      <c r="I140" s="24" t="s">
        <v>464</v>
      </c>
      <c r="J140" s="13" t="s">
        <v>39</v>
      </c>
      <c r="K140" s="33" t="s">
        <v>169</v>
      </c>
      <c r="L140" s="79" t="s">
        <v>41</v>
      </c>
      <c r="M140" s="13" t="s">
        <v>39</v>
      </c>
      <c r="N140" s="13" t="s">
        <v>39</v>
      </c>
      <c r="O140" s="13" t="s">
        <v>39</v>
      </c>
      <c r="P140" s="79" t="s">
        <v>41</v>
      </c>
      <c r="Q140" s="13" t="s">
        <v>39</v>
      </c>
      <c r="R140" s="33" t="s">
        <v>169</v>
      </c>
      <c r="S140" s="13" t="s">
        <v>39</v>
      </c>
      <c r="T140" s="25" t="s">
        <v>459</v>
      </c>
      <c r="U140" s="31">
        <v>45728</v>
      </c>
      <c r="V140" s="26">
        <f t="shared" si="12"/>
        <v>1</v>
      </c>
      <c r="W140" s="27" t="str">
        <f t="shared" si="13"/>
        <v>CONFORME</v>
      </c>
      <c r="X140" s="18">
        <f t="shared" ref="X140:X171" si="14">10-COUNTIF(J140:S140,"NO APLICA")-COUNTIF(J140:S140,"-")-COUNTIF(J140:S140,"")</f>
        <v>2</v>
      </c>
      <c r="Y140" s="18">
        <f t="shared" si="11"/>
        <v>2</v>
      </c>
    </row>
    <row r="141" spans="1:25" ht="21.75" customHeight="1" x14ac:dyDescent="0.35">
      <c r="A141" s="5">
        <v>2024</v>
      </c>
      <c r="B141" s="73" t="s">
        <v>465</v>
      </c>
      <c r="C141" s="74" t="s">
        <v>466</v>
      </c>
      <c r="D141" s="8" t="s">
        <v>35</v>
      </c>
      <c r="E141" s="9" t="s">
        <v>36</v>
      </c>
      <c r="F141" s="77" t="s">
        <v>74</v>
      </c>
      <c r="G141" s="29"/>
      <c r="H141" s="11" t="s">
        <v>228</v>
      </c>
      <c r="I141" s="12" t="s">
        <v>464</v>
      </c>
      <c r="J141" s="13" t="s">
        <v>39</v>
      </c>
      <c r="K141" s="33" t="s">
        <v>169</v>
      </c>
      <c r="L141" s="79" t="s">
        <v>41</v>
      </c>
      <c r="M141" s="13" t="s">
        <v>39</v>
      </c>
      <c r="N141" s="13" t="s">
        <v>39</v>
      </c>
      <c r="O141" s="13" t="s">
        <v>39</v>
      </c>
      <c r="P141" s="79" t="s">
        <v>41</v>
      </c>
      <c r="Q141" s="79" t="s">
        <v>41</v>
      </c>
      <c r="R141" s="79" t="s">
        <v>41</v>
      </c>
      <c r="S141" s="33" t="s">
        <v>169</v>
      </c>
      <c r="T141" s="15" t="s">
        <v>467</v>
      </c>
      <c r="U141" s="30">
        <v>45798</v>
      </c>
      <c r="V141" s="26">
        <f t="shared" si="12"/>
        <v>1</v>
      </c>
      <c r="W141" s="27" t="str">
        <f t="shared" si="13"/>
        <v>CONFORME</v>
      </c>
      <c r="X141" s="18">
        <f t="shared" si="14"/>
        <v>4</v>
      </c>
      <c r="Y141" s="18">
        <f t="shared" si="11"/>
        <v>4</v>
      </c>
    </row>
    <row r="142" spans="1:25" ht="21.75" customHeight="1" x14ac:dyDescent="0.35">
      <c r="A142" s="19">
        <v>2024</v>
      </c>
      <c r="B142" s="75" t="s">
        <v>468</v>
      </c>
      <c r="C142" s="76" t="s">
        <v>469</v>
      </c>
      <c r="D142" s="20"/>
      <c r="E142" s="21" t="s">
        <v>36</v>
      </c>
      <c r="F142" s="77" t="s">
        <v>74</v>
      </c>
      <c r="G142" s="28"/>
      <c r="H142" s="23" t="s">
        <v>228</v>
      </c>
      <c r="I142" s="24" t="s">
        <v>169</v>
      </c>
      <c r="J142" s="79" t="s">
        <v>41</v>
      </c>
      <c r="K142" s="78" t="s">
        <v>40</v>
      </c>
      <c r="L142" s="33" t="s">
        <v>169</v>
      </c>
      <c r="M142" s="33" t="s">
        <v>169</v>
      </c>
      <c r="N142" s="33" t="s">
        <v>169</v>
      </c>
      <c r="O142" s="33" t="s">
        <v>169</v>
      </c>
      <c r="P142" s="14"/>
      <c r="Q142" s="14"/>
      <c r="R142" s="78" t="s">
        <v>40</v>
      </c>
      <c r="S142" s="13" t="s">
        <v>39</v>
      </c>
      <c r="T142" s="25" t="s">
        <v>470</v>
      </c>
      <c r="U142" s="31">
        <v>45980</v>
      </c>
      <c r="V142" s="26">
        <f t="shared" si="12"/>
        <v>0.33333333333333331</v>
      </c>
      <c r="W142" s="27" t="str">
        <f t="shared" si="13"/>
        <v>CRITICO</v>
      </c>
      <c r="X142" s="18">
        <f t="shared" si="14"/>
        <v>3</v>
      </c>
      <c r="Y142" s="18">
        <f t="shared" si="11"/>
        <v>1</v>
      </c>
    </row>
    <row r="143" spans="1:25" ht="21.75" customHeight="1" x14ac:dyDescent="0.35">
      <c r="A143" s="5">
        <v>2024</v>
      </c>
      <c r="B143" s="73" t="s">
        <v>471</v>
      </c>
      <c r="C143" s="74" t="s">
        <v>472</v>
      </c>
      <c r="D143" s="8" t="s">
        <v>35</v>
      </c>
      <c r="E143" s="9" t="s">
        <v>36</v>
      </c>
      <c r="F143" s="77" t="s">
        <v>74</v>
      </c>
      <c r="G143" s="29"/>
      <c r="H143" s="11" t="s">
        <v>329</v>
      </c>
      <c r="I143" s="12" t="s">
        <v>344</v>
      </c>
      <c r="J143" s="13" t="s">
        <v>39</v>
      </c>
      <c r="K143" s="79" t="s">
        <v>41</v>
      </c>
      <c r="L143" s="79" t="s">
        <v>41</v>
      </c>
      <c r="M143" s="13" t="s">
        <v>39</v>
      </c>
      <c r="N143" s="79" t="s">
        <v>41</v>
      </c>
      <c r="O143" s="13" t="s">
        <v>39</v>
      </c>
      <c r="P143" s="79" t="s">
        <v>41</v>
      </c>
      <c r="Q143" s="79" t="s">
        <v>41</v>
      </c>
      <c r="R143" s="79" t="s">
        <v>41</v>
      </c>
      <c r="S143" s="13" t="s">
        <v>39</v>
      </c>
      <c r="T143" s="15"/>
      <c r="U143" s="30">
        <v>45527</v>
      </c>
      <c r="V143" s="26">
        <f t="shared" si="12"/>
        <v>1</v>
      </c>
      <c r="W143" s="27" t="str">
        <f t="shared" si="13"/>
        <v>CONFORME</v>
      </c>
      <c r="X143" s="18">
        <f t="shared" si="14"/>
        <v>6</v>
      </c>
      <c r="Y143" s="18">
        <f t="shared" si="11"/>
        <v>6</v>
      </c>
    </row>
    <row r="144" spans="1:25" ht="21.75" customHeight="1" x14ac:dyDescent="0.35">
      <c r="A144" s="19">
        <v>2024</v>
      </c>
      <c r="B144" s="75" t="s">
        <v>473</v>
      </c>
      <c r="C144" s="76" t="s">
        <v>474</v>
      </c>
      <c r="D144" s="20" t="s">
        <v>35</v>
      </c>
      <c r="E144" s="21" t="s">
        <v>36</v>
      </c>
      <c r="F144" s="77" t="s">
        <v>74</v>
      </c>
      <c r="G144" s="28"/>
      <c r="H144" s="23" t="s">
        <v>37</v>
      </c>
      <c r="I144" s="24" t="s">
        <v>475</v>
      </c>
      <c r="J144" s="13" t="s">
        <v>39</v>
      </c>
      <c r="K144" s="78" t="s">
        <v>40</v>
      </c>
      <c r="L144" s="79" t="s">
        <v>41</v>
      </c>
      <c r="M144" s="13" t="s">
        <v>39</v>
      </c>
      <c r="N144" s="13" t="s">
        <v>39</v>
      </c>
      <c r="O144" s="13" t="s">
        <v>39</v>
      </c>
      <c r="P144" s="79" t="s">
        <v>41</v>
      </c>
      <c r="Q144" s="13" t="s">
        <v>39</v>
      </c>
      <c r="R144" s="79" t="s">
        <v>41</v>
      </c>
      <c r="S144" s="13" t="s">
        <v>39</v>
      </c>
      <c r="T144" s="25" t="s">
        <v>476</v>
      </c>
      <c r="U144" s="31">
        <v>45975</v>
      </c>
      <c r="V144" s="26">
        <f t="shared" si="12"/>
        <v>0.75</v>
      </c>
      <c r="W144" s="27" t="str">
        <f t="shared" si="13"/>
        <v>ALERTA</v>
      </c>
      <c r="X144" s="18">
        <f t="shared" si="14"/>
        <v>4</v>
      </c>
      <c r="Y144" s="18">
        <f t="shared" si="11"/>
        <v>3</v>
      </c>
    </row>
    <row r="145" spans="1:25" ht="21.75" customHeight="1" x14ac:dyDescent="0.35">
      <c r="A145" s="5">
        <v>2024</v>
      </c>
      <c r="B145" s="73" t="s">
        <v>477</v>
      </c>
      <c r="C145" s="74" t="s">
        <v>478</v>
      </c>
      <c r="D145" s="8" t="s">
        <v>35</v>
      </c>
      <c r="E145" s="9" t="s">
        <v>120</v>
      </c>
      <c r="F145" s="77" t="s">
        <v>74</v>
      </c>
      <c r="G145" s="29"/>
      <c r="H145" s="11" t="s">
        <v>329</v>
      </c>
      <c r="I145" s="12" t="s">
        <v>384</v>
      </c>
      <c r="J145" s="13" t="s">
        <v>39</v>
      </c>
      <c r="K145" s="79" t="s">
        <v>41</v>
      </c>
      <c r="L145" s="79" t="s">
        <v>41</v>
      </c>
      <c r="M145" s="13" t="s">
        <v>39</v>
      </c>
      <c r="N145" s="13" t="s">
        <v>39</v>
      </c>
      <c r="O145" s="13" t="s">
        <v>39</v>
      </c>
      <c r="P145" s="79" t="s">
        <v>41</v>
      </c>
      <c r="Q145" s="79" t="s">
        <v>41</v>
      </c>
      <c r="R145" s="79" t="s">
        <v>41</v>
      </c>
      <c r="S145" s="13" t="s">
        <v>39</v>
      </c>
      <c r="T145" s="15"/>
      <c r="U145" s="30">
        <v>45527</v>
      </c>
      <c r="V145" s="26">
        <f t="shared" si="12"/>
        <v>1</v>
      </c>
      <c r="W145" s="27" t="str">
        <f t="shared" si="13"/>
        <v>CONFORME</v>
      </c>
      <c r="X145" s="18">
        <f t="shared" si="14"/>
        <v>5</v>
      </c>
      <c r="Y145" s="18">
        <f t="shared" si="11"/>
        <v>5</v>
      </c>
    </row>
    <row r="146" spans="1:25" ht="21.75" customHeight="1" x14ac:dyDescent="0.35">
      <c r="A146" s="19">
        <v>2024</v>
      </c>
      <c r="B146" s="75" t="s">
        <v>479</v>
      </c>
      <c r="C146" s="76" t="s">
        <v>480</v>
      </c>
      <c r="D146" s="20"/>
      <c r="E146" s="21" t="s">
        <v>36</v>
      </c>
      <c r="F146" s="77" t="s">
        <v>74</v>
      </c>
      <c r="G146" s="28"/>
      <c r="H146" s="23" t="s">
        <v>137</v>
      </c>
      <c r="I146" s="24" t="s">
        <v>481</v>
      </c>
      <c r="J146" s="78" t="s">
        <v>40</v>
      </c>
      <c r="K146" s="78" t="s">
        <v>40</v>
      </c>
      <c r="L146" s="78" t="s">
        <v>40</v>
      </c>
      <c r="M146" s="13" t="s">
        <v>39</v>
      </c>
      <c r="N146" s="13" t="s">
        <v>39</v>
      </c>
      <c r="O146" s="78" t="s">
        <v>40</v>
      </c>
      <c r="P146" s="79" t="s">
        <v>41</v>
      </c>
      <c r="Q146" s="79" t="s">
        <v>41</v>
      </c>
      <c r="R146" s="78" t="s">
        <v>40</v>
      </c>
      <c r="S146" s="13" t="s">
        <v>39</v>
      </c>
      <c r="T146" s="25" t="s">
        <v>482</v>
      </c>
      <c r="U146" s="31">
        <v>45980</v>
      </c>
      <c r="V146" s="26">
        <f t="shared" si="12"/>
        <v>0.2857142857142857</v>
      </c>
      <c r="W146" s="27" t="str">
        <f t="shared" si="13"/>
        <v>CRITICO</v>
      </c>
      <c r="X146" s="18">
        <f t="shared" si="14"/>
        <v>7</v>
      </c>
      <c r="Y146" s="18">
        <f t="shared" si="11"/>
        <v>2</v>
      </c>
    </row>
    <row r="147" spans="1:25" ht="21.75" customHeight="1" x14ac:dyDescent="0.35">
      <c r="A147" s="5">
        <v>2025</v>
      </c>
      <c r="B147" s="73" t="s">
        <v>483</v>
      </c>
      <c r="C147" s="74" t="s">
        <v>484</v>
      </c>
      <c r="D147" s="8" t="s">
        <v>35</v>
      </c>
      <c r="E147" s="9" t="s">
        <v>44</v>
      </c>
      <c r="F147" s="77" t="s">
        <v>74</v>
      </c>
      <c r="G147" s="29"/>
      <c r="H147" s="11" t="s">
        <v>395</v>
      </c>
      <c r="I147" s="12"/>
      <c r="J147" s="13" t="s">
        <v>39</v>
      </c>
      <c r="K147" s="78" t="s">
        <v>40</v>
      </c>
      <c r="L147" s="79" t="s">
        <v>41</v>
      </c>
      <c r="M147" s="78" t="s">
        <v>40</v>
      </c>
      <c r="N147" s="79" t="s">
        <v>41</v>
      </c>
      <c r="O147" s="13" t="s">
        <v>39</v>
      </c>
      <c r="P147" s="13" t="s">
        <v>39</v>
      </c>
      <c r="Q147" s="13" t="s">
        <v>39</v>
      </c>
      <c r="R147" s="79" t="s">
        <v>41</v>
      </c>
      <c r="S147" s="78" t="s">
        <v>40</v>
      </c>
      <c r="T147" s="15" t="s">
        <v>485</v>
      </c>
      <c r="U147" s="30">
        <v>45729</v>
      </c>
      <c r="V147" s="26">
        <f t="shared" si="12"/>
        <v>0.5</v>
      </c>
      <c r="W147" s="27" t="str">
        <f t="shared" si="13"/>
        <v>ALERTA</v>
      </c>
      <c r="X147" s="18">
        <f t="shared" si="14"/>
        <v>6</v>
      </c>
      <c r="Y147" s="18">
        <f t="shared" si="11"/>
        <v>3</v>
      </c>
    </row>
    <row r="148" spans="1:25" ht="21.75" customHeight="1" x14ac:dyDescent="0.35">
      <c r="A148" s="19">
        <v>2025</v>
      </c>
      <c r="B148" s="75" t="s">
        <v>486</v>
      </c>
      <c r="C148" s="76" t="s">
        <v>487</v>
      </c>
      <c r="D148" s="20" t="s">
        <v>154</v>
      </c>
      <c r="E148" s="21" t="s">
        <v>36</v>
      </c>
      <c r="F148" s="77" t="s">
        <v>74</v>
      </c>
      <c r="G148" s="28"/>
      <c r="H148" s="23" t="s">
        <v>245</v>
      </c>
      <c r="I148" s="24" t="s">
        <v>488</v>
      </c>
      <c r="J148" s="79" t="s">
        <v>41</v>
      </c>
      <c r="K148" s="78" t="s">
        <v>40</v>
      </c>
      <c r="L148" s="13" t="s">
        <v>39</v>
      </c>
      <c r="M148" s="79" t="s">
        <v>41</v>
      </c>
      <c r="N148" s="79" t="s">
        <v>41</v>
      </c>
      <c r="O148" s="78" t="s">
        <v>40</v>
      </c>
      <c r="P148" s="79" t="s">
        <v>41</v>
      </c>
      <c r="Q148" s="79" t="s">
        <v>41</v>
      </c>
      <c r="R148" s="78" t="s">
        <v>40</v>
      </c>
      <c r="S148" s="78" t="s">
        <v>40</v>
      </c>
      <c r="T148" s="25" t="s">
        <v>489</v>
      </c>
      <c r="U148" s="31">
        <v>45840</v>
      </c>
      <c r="V148" s="26">
        <f t="shared" si="12"/>
        <v>0.55555555555555558</v>
      </c>
      <c r="W148" s="27" t="str">
        <f t="shared" si="13"/>
        <v>ALERTA</v>
      </c>
      <c r="X148" s="18">
        <f t="shared" si="14"/>
        <v>9</v>
      </c>
      <c r="Y148" s="18">
        <f t="shared" si="11"/>
        <v>5</v>
      </c>
    </row>
    <row r="149" spans="1:25" ht="21.75" customHeight="1" x14ac:dyDescent="0.35">
      <c r="A149" s="5">
        <v>2025</v>
      </c>
      <c r="B149" s="73" t="s">
        <v>490</v>
      </c>
      <c r="C149" s="74" t="s">
        <v>491</v>
      </c>
      <c r="D149" s="8" t="s">
        <v>35</v>
      </c>
      <c r="E149" s="9" t="s">
        <v>36</v>
      </c>
      <c r="F149" s="77" t="s">
        <v>74</v>
      </c>
      <c r="G149" s="29"/>
      <c r="H149" s="11" t="s">
        <v>57</v>
      </c>
      <c r="I149" s="12"/>
      <c r="J149" s="13" t="s">
        <v>39</v>
      </c>
      <c r="K149" s="78" t="s">
        <v>40</v>
      </c>
      <c r="L149" s="78" t="s">
        <v>40</v>
      </c>
      <c r="M149" s="13" t="s">
        <v>39</v>
      </c>
      <c r="N149" s="13" t="s">
        <v>39</v>
      </c>
      <c r="O149" s="13" t="s">
        <v>39</v>
      </c>
      <c r="P149" s="79" t="s">
        <v>41</v>
      </c>
      <c r="Q149" s="13" t="s">
        <v>39</v>
      </c>
      <c r="R149" s="78" t="s">
        <v>40</v>
      </c>
      <c r="S149" s="78" t="s">
        <v>40</v>
      </c>
      <c r="T149" s="15"/>
      <c r="U149" s="30">
        <v>45798</v>
      </c>
      <c r="V149" s="26">
        <f t="shared" si="12"/>
        <v>0.2</v>
      </c>
      <c r="W149" s="27" t="str">
        <f t="shared" si="13"/>
        <v>CRITICO</v>
      </c>
      <c r="X149" s="18">
        <f t="shared" si="14"/>
        <v>5</v>
      </c>
      <c r="Y149" s="18">
        <f t="shared" si="11"/>
        <v>1</v>
      </c>
    </row>
    <row r="150" spans="1:25" ht="21.75" customHeight="1" x14ac:dyDescent="0.35">
      <c r="A150" s="19">
        <v>2025</v>
      </c>
      <c r="B150" s="75" t="s">
        <v>492</v>
      </c>
      <c r="C150" s="76" t="s">
        <v>493</v>
      </c>
      <c r="D150" s="20"/>
      <c r="E150" s="21" t="s">
        <v>44</v>
      </c>
      <c r="F150" s="77" t="s">
        <v>74</v>
      </c>
      <c r="G150" s="28"/>
      <c r="H150" s="23" t="s">
        <v>37</v>
      </c>
      <c r="I150" s="24" t="s">
        <v>494</v>
      </c>
      <c r="J150" s="78" t="s">
        <v>40</v>
      </c>
      <c r="K150" s="32" t="s">
        <v>162</v>
      </c>
      <c r="L150" s="35" t="s">
        <v>283</v>
      </c>
      <c r="M150" s="78" t="s">
        <v>40</v>
      </c>
      <c r="N150" s="79" t="s">
        <v>41</v>
      </c>
      <c r="O150" s="14"/>
      <c r="P150" s="13" t="s">
        <v>39</v>
      </c>
      <c r="Q150" s="78" t="s">
        <v>40</v>
      </c>
      <c r="R150" s="79" t="s">
        <v>41</v>
      </c>
      <c r="S150" s="78" t="s">
        <v>40</v>
      </c>
      <c r="T150" s="25" t="s">
        <v>495</v>
      </c>
      <c r="U150" s="31">
        <v>45975</v>
      </c>
      <c r="V150" s="26">
        <f t="shared" si="12"/>
        <v>0.35714285714285715</v>
      </c>
      <c r="W150" s="27" t="str">
        <f t="shared" si="13"/>
        <v>CRITICO</v>
      </c>
      <c r="X150" s="18">
        <f t="shared" si="14"/>
        <v>8</v>
      </c>
      <c r="Y150" s="18">
        <f t="shared" si="11"/>
        <v>2.5</v>
      </c>
    </row>
    <row r="151" spans="1:25" ht="21.75" customHeight="1" x14ac:dyDescent="0.35">
      <c r="A151" s="5">
        <v>2026</v>
      </c>
      <c r="B151" s="73" t="s">
        <v>496</v>
      </c>
      <c r="C151" s="74" t="s">
        <v>497</v>
      </c>
      <c r="D151" s="8"/>
      <c r="E151" s="9" t="s">
        <v>36</v>
      </c>
      <c r="F151" s="77" t="s">
        <v>308</v>
      </c>
      <c r="G151" s="29"/>
      <c r="H151" s="11" t="s">
        <v>37</v>
      </c>
      <c r="I151" s="12"/>
      <c r="J151" s="33" t="s">
        <v>169</v>
      </c>
      <c r="K151" s="14"/>
      <c r="L151" s="78" t="s">
        <v>40</v>
      </c>
      <c r="M151" s="13" t="s">
        <v>39</v>
      </c>
      <c r="N151" s="13" t="s">
        <v>39</v>
      </c>
      <c r="O151" s="14"/>
      <c r="P151" s="14"/>
      <c r="Q151" s="14"/>
      <c r="R151" s="14"/>
      <c r="S151" s="14"/>
      <c r="T151" s="15" t="s">
        <v>498</v>
      </c>
      <c r="U151" s="5"/>
      <c r="V151" s="26">
        <f t="shared" si="12"/>
        <v>0</v>
      </c>
      <c r="W151" s="27" t="str">
        <f t="shared" si="13"/>
        <v>CRITICO</v>
      </c>
      <c r="X151" s="18">
        <f t="shared" si="14"/>
        <v>1</v>
      </c>
      <c r="Y151" s="18">
        <f t="shared" si="11"/>
        <v>0</v>
      </c>
    </row>
    <row r="152" spans="1:25" ht="21.75" customHeight="1" x14ac:dyDescent="0.35">
      <c r="A152" s="19">
        <v>2026</v>
      </c>
      <c r="B152" s="75" t="s">
        <v>499</v>
      </c>
      <c r="C152" s="76" t="s">
        <v>500</v>
      </c>
      <c r="D152" s="20"/>
      <c r="E152" s="21" t="s">
        <v>36</v>
      </c>
      <c r="F152" s="77" t="s">
        <v>36</v>
      </c>
      <c r="G152" s="22">
        <v>46172</v>
      </c>
      <c r="H152" s="23" t="s">
        <v>37</v>
      </c>
      <c r="I152" s="24" t="s">
        <v>501</v>
      </c>
      <c r="J152" s="33" t="s">
        <v>169</v>
      </c>
      <c r="K152" s="14"/>
      <c r="L152" s="78" t="s">
        <v>40</v>
      </c>
      <c r="M152" s="13" t="s">
        <v>39</v>
      </c>
      <c r="N152" s="13" t="s">
        <v>39</v>
      </c>
      <c r="O152" s="14"/>
      <c r="P152" s="79" t="s">
        <v>41</v>
      </c>
      <c r="Q152" s="79" t="s">
        <v>41</v>
      </c>
      <c r="R152" s="14"/>
      <c r="S152" s="14"/>
      <c r="T152" s="25" t="s">
        <v>502</v>
      </c>
      <c r="U152" s="19"/>
      <c r="V152" s="26">
        <f t="shared" si="12"/>
        <v>0.66666666666666663</v>
      </c>
      <c r="W152" s="27" t="str">
        <f t="shared" si="13"/>
        <v>ALERTA</v>
      </c>
      <c r="X152" s="18">
        <f t="shared" si="14"/>
        <v>3</v>
      </c>
      <c r="Y152" s="18">
        <f t="shared" si="11"/>
        <v>2</v>
      </c>
    </row>
    <row r="153" spans="1:25" ht="21.75" customHeight="1" x14ac:dyDescent="0.35">
      <c r="A153" s="5">
        <v>2026</v>
      </c>
      <c r="B153" s="73" t="s">
        <v>503</v>
      </c>
      <c r="C153" s="74" t="s">
        <v>504</v>
      </c>
      <c r="D153" s="8"/>
      <c r="E153" s="9" t="s">
        <v>36</v>
      </c>
      <c r="F153" s="77" t="s">
        <v>36</v>
      </c>
      <c r="G153" s="10">
        <v>46203</v>
      </c>
      <c r="H153" s="11" t="s">
        <v>37</v>
      </c>
      <c r="I153" s="12" t="s">
        <v>242</v>
      </c>
      <c r="J153" s="33" t="s">
        <v>169</v>
      </c>
      <c r="K153" s="14"/>
      <c r="L153" s="78" t="s">
        <v>40</v>
      </c>
      <c r="M153" s="13" t="s">
        <v>39</v>
      </c>
      <c r="N153" s="13" t="s">
        <v>39</v>
      </c>
      <c r="O153" s="14"/>
      <c r="P153" s="79" t="s">
        <v>41</v>
      </c>
      <c r="Q153" s="79" t="s">
        <v>41</v>
      </c>
      <c r="R153" s="14"/>
      <c r="S153" s="14"/>
      <c r="T153" s="15" t="s">
        <v>505</v>
      </c>
      <c r="U153" s="5"/>
      <c r="V153" s="26">
        <f t="shared" si="12"/>
        <v>0.66666666666666663</v>
      </c>
      <c r="W153" s="27" t="str">
        <f t="shared" si="13"/>
        <v>ALERTA</v>
      </c>
      <c r="X153" s="18">
        <f t="shared" si="14"/>
        <v>3</v>
      </c>
      <c r="Y153" s="18">
        <f t="shared" si="11"/>
        <v>2</v>
      </c>
    </row>
    <row r="154" spans="1:25" ht="21.75" customHeight="1" x14ac:dyDescent="0.35">
      <c r="A154" s="19">
        <v>2026</v>
      </c>
      <c r="B154" s="75" t="s">
        <v>506</v>
      </c>
      <c r="C154" s="76" t="s">
        <v>507</v>
      </c>
      <c r="D154" s="20"/>
      <c r="E154" s="21" t="s">
        <v>145</v>
      </c>
      <c r="F154" s="77"/>
      <c r="G154" s="28"/>
      <c r="H154" s="23" t="s">
        <v>37</v>
      </c>
      <c r="I154" s="24"/>
      <c r="J154" s="78" t="s">
        <v>40</v>
      </c>
      <c r="K154" s="14"/>
      <c r="L154" s="79" t="s">
        <v>41</v>
      </c>
      <c r="M154" s="78" t="s">
        <v>40</v>
      </c>
      <c r="N154" s="79" t="s">
        <v>41</v>
      </c>
      <c r="O154" s="14"/>
      <c r="P154" s="13" t="s">
        <v>39</v>
      </c>
      <c r="Q154" s="78" t="s">
        <v>40</v>
      </c>
      <c r="R154" s="14"/>
      <c r="S154" s="78" t="s">
        <v>40</v>
      </c>
      <c r="T154" s="25" t="s">
        <v>508</v>
      </c>
      <c r="U154" s="31">
        <v>45819</v>
      </c>
      <c r="V154" s="26">
        <f t="shared" si="12"/>
        <v>0.33333333333333331</v>
      </c>
      <c r="W154" s="27" t="str">
        <f t="shared" si="13"/>
        <v>CRITICO</v>
      </c>
      <c r="X154" s="18">
        <f t="shared" si="14"/>
        <v>6</v>
      </c>
      <c r="Y154" s="18">
        <f t="shared" si="11"/>
        <v>2</v>
      </c>
    </row>
    <row r="155" spans="1:25" ht="21.75" customHeight="1" x14ac:dyDescent="0.35">
      <c r="A155" s="5">
        <v>2024</v>
      </c>
      <c r="B155" s="73" t="s">
        <v>509</v>
      </c>
      <c r="C155" s="74" t="s">
        <v>510</v>
      </c>
      <c r="D155" s="8" t="s">
        <v>35</v>
      </c>
      <c r="E155" s="9" t="s">
        <v>53</v>
      </c>
      <c r="F155" s="77" t="s">
        <v>74</v>
      </c>
      <c r="G155" s="29"/>
      <c r="H155" s="11" t="s">
        <v>37</v>
      </c>
      <c r="I155" s="12"/>
      <c r="J155" s="13" t="s">
        <v>39</v>
      </c>
      <c r="K155" s="13" t="s">
        <v>39</v>
      </c>
      <c r="L155" s="78" t="s">
        <v>40</v>
      </c>
      <c r="M155" s="78" t="s">
        <v>40</v>
      </c>
      <c r="N155" s="79" t="s">
        <v>41</v>
      </c>
      <c r="O155" s="13" t="s">
        <v>39</v>
      </c>
      <c r="P155" s="13" t="s">
        <v>39</v>
      </c>
      <c r="Q155" s="13" t="s">
        <v>39</v>
      </c>
      <c r="R155" s="79" t="s">
        <v>41</v>
      </c>
      <c r="S155" s="13" t="s">
        <v>39</v>
      </c>
      <c r="T155" s="15" t="s">
        <v>511</v>
      </c>
      <c r="U155" s="30">
        <v>45975</v>
      </c>
      <c r="V155" s="26">
        <f t="shared" si="12"/>
        <v>0.5</v>
      </c>
      <c r="W155" s="27" t="str">
        <f t="shared" si="13"/>
        <v>ALERTA</v>
      </c>
      <c r="X155" s="18">
        <f t="shared" si="14"/>
        <v>4</v>
      </c>
      <c r="Y155" s="18">
        <f t="shared" si="11"/>
        <v>2</v>
      </c>
    </row>
    <row r="156" spans="1:25" ht="21.75" customHeight="1" x14ac:dyDescent="0.35">
      <c r="A156" s="19">
        <v>2024</v>
      </c>
      <c r="B156" s="75" t="s">
        <v>512</v>
      </c>
      <c r="C156" s="76" t="s">
        <v>513</v>
      </c>
      <c r="D156" s="20" t="s">
        <v>35</v>
      </c>
      <c r="E156" s="21" t="s">
        <v>44</v>
      </c>
      <c r="F156" s="77" t="s">
        <v>74</v>
      </c>
      <c r="G156" s="28"/>
      <c r="H156" s="23" t="s">
        <v>228</v>
      </c>
      <c r="I156" s="24"/>
      <c r="J156" s="13" t="s">
        <v>39</v>
      </c>
      <c r="K156" s="79" t="s">
        <v>41</v>
      </c>
      <c r="L156" s="35" t="s">
        <v>283</v>
      </c>
      <c r="M156" s="35" t="s">
        <v>283</v>
      </c>
      <c r="N156" s="79" t="s">
        <v>41</v>
      </c>
      <c r="O156" s="13" t="s">
        <v>39</v>
      </c>
      <c r="P156" s="13" t="s">
        <v>39</v>
      </c>
      <c r="Q156" s="13" t="s">
        <v>39</v>
      </c>
      <c r="R156" s="79" t="s">
        <v>41</v>
      </c>
      <c r="S156" s="78" t="s">
        <v>40</v>
      </c>
      <c r="T156" s="25" t="s">
        <v>514</v>
      </c>
      <c r="U156" s="31">
        <v>45980</v>
      </c>
      <c r="V156" s="26">
        <f t="shared" si="12"/>
        <v>0.66666666666666663</v>
      </c>
      <c r="W156" s="27" t="str">
        <f t="shared" si="13"/>
        <v>ALERTA</v>
      </c>
      <c r="X156" s="18">
        <f t="shared" si="14"/>
        <v>6</v>
      </c>
      <c r="Y156" s="18">
        <f t="shared" si="11"/>
        <v>4</v>
      </c>
    </row>
    <row r="157" spans="1:25" ht="21.75" customHeight="1" x14ac:dyDescent="0.35">
      <c r="A157" s="5">
        <v>2024</v>
      </c>
      <c r="B157" s="73" t="s">
        <v>515</v>
      </c>
      <c r="C157" s="74" t="s">
        <v>516</v>
      </c>
      <c r="D157" s="8" t="s">
        <v>35</v>
      </c>
      <c r="E157" s="9" t="s">
        <v>36</v>
      </c>
      <c r="F157" s="77" t="s">
        <v>74</v>
      </c>
      <c r="G157" s="29"/>
      <c r="H157" s="11" t="s">
        <v>37</v>
      </c>
      <c r="I157" s="12" t="s">
        <v>517</v>
      </c>
      <c r="J157" s="13" t="s">
        <v>39</v>
      </c>
      <c r="K157" s="79" t="s">
        <v>41</v>
      </c>
      <c r="L157" s="79" t="s">
        <v>41</v>
      </c>
      <c r="M157" s="13" t="s">
        <v>39</v>
      </c>
      <c r="N157" s="79" t="s">
        <v>41</v>
      </c>
      <c r="O157" s="13" t="s">
        <v>39</v>
      </c>
      <c r="P157" s="78" t="s">
        <v>40</v>
      </c>
      <c r="Q157" s="13" t="s">
        <v>39</v>
      </c>
      <c r="R157" s="79" t="s">
        <v>41</v>
      </c>
      <c r="S157" s="13" t="s">
        <v>39</v>
      </c>
      <c r="T157" s="15" t="s">
        <v>518</v>
      </c>
      <c r="U157" s="30">
        <v>45819</v>
      </c>
      <c r="V157" s="26">
        <f t="shared" si="12"/>
        <v>0.8</v>
      </c>
      <c r="W157" s="27" t="str">
        <f t="shared" si="13"/>
        <v>ALERTA</v>
      </c>
      <c r="X157" s="18">
        <f t="shared" si="14"/>
        <v>5</v>
      </c>
      <c r="Y157" s="18">
        <f t="shared" si="11"/>
        <v>4</v>
      </c>
    </row>
    <row r="158" spans="1:25" ht="21.75" customHeight="1" x14ac:dyDescent="0.35">
      <c r="A158" s="19">
        <v>2025</v>
      </c>
      <c r="B158" s="75" t="s">
        <v>519</v>
      </c>
      <c r="C158" s="76" t="s">
        <v>520</v>
      </c>
      <c r="D158" s="20" t="s">
        <v>86</v>
      </c>
      <c r="E158" s="21" t="s">
        <v>36</v>
      </c>
      <c r="F158" s="77" t="s">
        <v>74</v>
      </c>
      <c r="G158" s="28"/>
      <c r="H158" s="23" t="s">
        <v>137</v>
      </c>
      <c r="I158" s="24" t="s">
        <v>521</v>
      </c>
      <c r="J158" s="78" t="s">
        <v>40</v>
      </c>
      <c r="K158" s="78" t="s">
        <v>40</v>
      </c>
      <c r="L158" s="78" t="s">
        <v>40</v>
      </c>
      <c r="M158" s="13" t="s">
        <v>39</v>
      </c>
      <c r="N158" s="78" t="s">
        <v>40</v>
      </c>
      <c r="O158" s="78" t="s">
        <v>40</v>
      </c>
      <c r="P158" s="78" t="s">
        <v>40</v>
      </c>
      <c r="Q158" s="79" t="s">
        <v>41</v>
      </c>
      <c r="R158" s="79" t="s">
        <v>41</v>
      </c>
      <c r="S158" s="13" t="s">
        <v>39</v>
      </c>
      <c r="T158" s="25" t="s">
        <v>482</v>
      </c>
      <c r="U158" s="31">
        <v>45980</v>
      </c>
      <c r="V158" s="26">
        <f t="shared" si="12"/>
        <v>0.25</v>
      </c>
      <c r="W158" s="27" t="str">
        <f t="shared" si="13"/>
        <v>CRITICO</v>
      </c>
      <c r="X158" s="18">
        <f t="shared" si="14"/>
        <v>8</v>
      </c>
      <c r="Y158" s="18">
        <f t="shared" si="11"/>
        <v>2</v>
      </c>
    </row>
    <row r="159" spans="1:25" ht="21.75" customHeight="1" x14ac:dyDescent="0.35">
      <c r="A159" s="5">
        <v>2025</v>
      </c>
      <c r="B159" s="73" t="s">
        <v>522</v>
      </c>
      <c r="C159" s="74" t="s">
        <v>523</v>
      </c>
      <c r="D159" s="8"/>
      <c r="E159" s="9" t="s">
        <v>36</v>
      </c>
      <c r="F159" s="77" t="s">
        <v>74</v>
      </c>
      <c r="G159" s="29"/>
      <c r="H159" s="11" t="s">
        <v>37</v>
      </c>
      <c r="I159" s="12" t="s">
        <v>524</v>
      </c>
      <c r="J159" s="79" t="s">
        <v>41</v>
      </c>
      <c r="K159" s="78" t="s">
        <v>40</v>
      </c>
      <c r="L159" s="78" t="s">
        <v>40</v>
      </c>
      <c r="M159" s="13" t="s">
        <v>39</v>
      </c>
      <c r="N159" s="14"/>
      <c r="O159" s="14"/>
      <c r="P159" s="79" t="s">
        <v>41</v>
      </c>
      <c r="Q159" s="79" t="s">
        <v>41</v>
      </c>
      <c r="R159" s="79" t="s">
        <v>41</v>
      </c>
      <c r="S159" s="13" t="s">
        <v>39</v>
      </c>
      <c r="T159" s="15" t="s">
        <v>525</v>
      </c>
      <c r="U159" s="30">
        <v>45819</v>
      </c>
      <c r="V159" s="26">
        <f t="shared" si="12"/>
        <v>0.66666666666666663</v>
      </c>
      <c r="W159" s="27" t="str">
        <f t="shared" si="13"/>
        <v>ALERTA</v>
      </c>
      <c r="X159" s="18">
        <f t="shared" si="14"/>
        <v>6</v>
      </c>
      <c r="Y159" s="18">
        <f t="shared" si="11"/>
        <v>4</v>
      </c>
    </row>
    <row r="160" spans="1:25" ht="21.75" customHeight="1" x14ac:dyDescent="0.35">
      <c r="A160" s="19">
        <v>2024</v>
      </c>
      <c r="B160" s="75" t="s">
        <v>526</v>
      </c>
      <c r="C160" s="76" t="s">
        <v>527</v>
      </c>
      <c r="D160" s="20"/>
      <c r="E160" s="21" t="s">
        <v>36</v>
      </c>
      <c r="F160" s="77" t="s">
        <v>74</v>
      </c>
      <c r="G160" s="28"/>
      <c r="H160" s="23" t="s">
        <v>137</v>
      </c>
      <c r="I160" s="24" t="s">
        <v>337</v>
      </c>
      <c r="J160" s="78" t="s">
        <v>40</v>
      </c>
      <c r="K160" s="78" t="s">
        <v>40</v>
      </c>
      <c r="L160" s="78" t="s">
        <v>40</v>
      </c>
      <c r="M160" s="13" t="s">
        <v>39</v>
      </c>
      <c r="N160" s="13" t="s">
        <v>39</v>
      </c>
      <c r="O160" s="78" t="s">
        <v>40</v>
      </c>
      <c r="P160" s="79" t="s">
        <v>41</v>
      </c>
      <c r="Q160" s="78" t="s">
        <v>40</v>
      </c>
      <c r="R160" s="79" t="s">
        <v>41</v>
      </c>
      <c r="S160" s="13" t="s">
        <v>39</v>
      </c>
      <c r="T160" s="25" t="s">
        <v>528</v>
      </c>
      <c r="U160" s="31">
        <v>45980</v>
      </c>
      <c r="V160" s="26">
        <f t="shared" si="12"/>
        <v>0.2857142857142857</v>
      </c>
      <c r="W160" s="27" t="str">
        <f t="shared" si="13"/>
        <v>CRITICO</v>
      </c>
      <c r="X160" s="18">
        <f t="shared" si="14"/>
        <v>7</v>
      </c>
      <c r="Y160" s="18">
        <f t="shared" si="11"/>
        <v>2</v>
      </c>
    </row>
    <row r="161" spans="1:25" ht="21.75" customHeight="1" x14ac:dyDescent="0.35">
      <c r="A161" s="5">
        <v>2024</v>
      </c>
      <c r="B161" s="73" t="s">
        <v>529</v>
      </c>
      <c r="C161" s="74" t="s">
        <v>530</v>
      </c>
      <c r="D161" s="8" t="s">
        <v>154</v>
      </c>
      <c r="E161" s="9" t="s">
        <v>238</v>
      </c>
      <c r="F161" s="77" t="s">
        <v>74</v>
      </c>
      <c r="G161" s="29"/>
      <c r="H161" s="11" t="s">
        <v>57</v>
      </c>
      <c r="I161" s="12"/>
      <c r="J161" s="34" t="s">
        <v>283</v>
      </c>
      <c r="K161" s="79" t="s">
        <v>41</v>
      </c>
      <c r="L161" s="78" t="s">
        <v>40</v>
      </c>
      <c r="M161" s="13" t="s">
        <v>39</v>
      </c>
      <c r="N161" s="13" t="s">
        <v>39</v>
      </c>
      <c r="O161" s="79" t="s">
        <v>41</v>
      </c>
      <c r="P161" s="13" t="s">
        <v>39</v>
      </c>
      <c r="Q161" s="14"/>
      <c r="R161" s="79" t="s">
        <v>41</v>
      </c>
      <c r="S161" s="13" t="s">
        <v>39</v>
      </c>
      <c r="T161" s="15" t="s">
        <v>531</v>
      </c>
      <c r="U161" s="30">
        <v>45798</v>
      </c>
      <c r="V161" s="26">
        <f t="shared" si="12"/>
        <v>0.7</v>
      </c>
      <c r="W161" s="27" t="str">
        <f t="shared" si="13"/>
        <v>ALERTA</v>
      </c>
      <c r="X161" s="18">
        <f t="shared" si="14"/>
        <v>5</v>
      </c>
      <c r="Y161" s="18">
        <f t="shared" si="11"/>
        <v>3.5</v>
      </c>
    </row>
    <row r="162" spans="1:25" ht="21.75" customHeight="1" x14ac:dyDescent="0.35">
      <c r="A162" s="19">
        <v>2024</v>
      </c>
      <c r="B162" s="75" t="s">
        <v>532</v>
      </c>
      <c r="C162" s="76" t="s">
        <v>533</v>
      </c>
      <c r="D162" s="20" t="s">
        <v>48</v>
      </c>
      <c r="E162" s="21" t="s">
        <v>200</v>
      </c>
      <c r="F162" s="77" t="s">
        <v>74</v>
      </c>
      <c r="G162" s="28"/>
      <c r="H162" s="23" t="s">
        <v>329</v>
      </c>
      <c r="I162" s="24" t="s">
        <v>534</v>
      </c>
      <c r="J162" s="79" t="s">
        <v>41</v>
      </c>
      <c r="K162" s="79" t="s">
        <v>41</v>
      </c>
      <c r="L162" s="79" t="s">
        <v>41</v>
      </c>
      <c r="M162" s="13" t="s">
        <v>39</v>
      </c>
      <c r="N162" s="79" t="s">
        <v>41</v>
      </c>
      <c r="O162" s="79" t="s">
        <v>41</v>
      </c>
      <c r="P162" s="79" t="s">
        <v>41</v>
      </c>
      <c r="Q162" s="13" t="s">
        <v>39</v>
      </c>
      <c r="R162" s="79" t="s">
        <v>41</v>
      </c>
      <c r="S162" s="13" t="s">
        <v>39</v>
      </c>
      <c r="T162" s="25" t="s">
        <v>535</v>
      </c>
      <c r="U162" s="31">
        <v>45527</v>
      </c>
      <c r="V162" s="26">
        <f t="shared" si="12"/>
        <v>1</v>
      </c>
      <c r="W162" s="27" t="str">
        <f t="shared" si="13"/>
        <v>CONFORME</v>
      </c>
      <c r="X162" s="18">
        <f t="shared" si="14"/>
        <v>7</v>
      </c>
      <c r="Y162" s="18">
        <f t="shared" si="11"/>
        <v>7</v>
      </c>
    </row>
    <row r="163" spans="1:25" ht="21.75" customHeight="1" x14ac:dyDescent="0.35">
      <c r="A163" s="5">
        <v>2025</v>
      </c>
      <c r="B163" s="73" t="s">
        <v>536</v>
      </c>
      <c r="C163" s="74" t="s">
        <v>537</v>
      </c>
      <c r="D163" s="8" t="s">
        <v>35</v>
      </c>
      <c r="E163" s="9" t="s">
        <v>145</v>
      </c>
      <c r="F163" s="77" t="s">
        <v>74</v>
      </c>
      <c r="G163" s="29"/>
      <c r="H163" s="11" t="s">
        <v>57</v>
      </c>
      <c r="I163" s="12"/>
      <c r="J163" s="13" t="s">
        <v>39</v>
      </c>
      <c r="K163" s="78" t="s">
        <v>40</v>
      </c>
      <c r="L163" s="78" t="s">
        <v>40</v>
      </c>
      <c r="M163" s="78" t="s">
        <v>40</v>
      </c>
      <c r="N163" s="78" t="s">
        <v>40</v>
      </c>
      <c r="O163" s="13" t="s">
        <v>39</v>
      </c>
      <c r="P163" s="79" t="s">
        <v>41</v>
      </c>
      <c r="Q163" s="13" t="s">
        <v>39</v>
      </c>
      <c r="R163" s="79" t="s">
        <v>41</v>
      </c>
      <c r="S163" s="78" t="s">
        <v>40</v>
      </c>
      <c r="T163" s="15"/>
      <c r="U163" s="30">
        <v>45798</v>
      </c>
      <c r="V163" s="26">
        <f t="shared" si="12"/>
        <v>0.2857142857142857</v>
      </c>
      <c r="W163" s="27" t="str">
        <f t="shared" si="13"/>
        <v>CRITICO</v>
      </c>
      <c r="X163" s="18">
        <f t="shared" si="14"/>
        <v>7</v>
      </c>
      <c r="Y163" s="18">
        <f t="shared" si="11"/>
        <v>2</v>
      </c>
    </row>
    <row r="164" spans="1:25" ht="21.75" customHeight="1" x14ac:dyDescent="0.35">
      <c r="A164" s="19">
        <v>2026</v>
      </c>
      <c r="B164" s="75" t="s">
        <v>538</v>
      </c>
      <c r="C164" s="76" t="s">
        <v>539</v>
      </c>
      <c r="D164" s="20" t="s">
        <v>86</v>
      </c>
      <c r="E164" s="21" t="s">
        <v>36</v>
      </c>
      <c r="F164" s="77" t="s">
        <v>89</v>
      </c>
      <c r="G164" s="28"/>
      <c r="H164" s="23" t="s">
        <v>137</v>
      </c>
      <c r="I164" s="24" t="s">
        <v>540</v>
      </c>
      <c r="J164" s="78" t="s">
        <v>40</v>
      </c>
      <c r="K164" s="78" t="s">
        <v>40</v>
      </c>
      <c r="L164" s="78" t="s">
        <v>40</v>
      </c>
      <c r="M164" s="13" t="s">
        <v>39</v>
      </c>
      <c r="N164" s="79" t="s">
        <v>41</v>
      </c>
      <c r="O164" s="78" t="s">
        <v>40</v>
      </c>
      <c r="P164" s="79" t="s">
        <v>41</v>
      </c>
      <c r="Q164" s="79" t="s">
        <v>41</v>
      </c>
      <c r="R164" s="13" t="s">
        <v>39</v>
      </c>
      <c r="S164" s="13" t="s">
        <v>39</v>
      </c>
      <c r="T164" s="25" t="s">
        <v>541</v>
      </c>
      <c r="U164" s="31">
        <v>45980</v>
      </c>
      <c r="V164" s="26">
        <f t="shared" si="12"/>
        <v>0.42857142857142855</v>
      </c>
      <c r="W164" s="27" t="str">
        <f t="shared" si="13"/>
        <v>CRITICO</v>
      </c>
      <c r="X164" s="18">
        <f t="shared" si="14"/>
        <v>7</v>
      </c>
      <c r="Y164" s="18">
        <f t="shared" si="11"/>
        <v>3</v>
      </c>
    </row>
    <row r="165" spans="1:25" ht="21.75" customHeight="1" x14ac:dyDescent="0.35">
      <c r="A165" s="5">
        <v>2025</v>
      </c>
      <c r="B165" s="73" t="s">
        <v>542</v>
      </c>
      <c r="C165" s="74" t="s">
        <v>543</v>
      </c>
      <c r="D165" s="8" t="s">
        <v>86</v>
      </c>
      <c r="E165" s="9" t="s">
        <v>36</v>
      </c>
      <c r="F165" s="77" t="s">
        <v>74</v>
      </c>
      <c r="G165" s="29"/>
      <c r="H165" s="11" t="s">
        <v>137</v>
      </c>
      <c r="I165" s="12" t="s">
        <v>540</v>
      </c>
      <c r="J165" s="78" t="s">
        <v>40</v>
      </c>
      <c r="K165" s="78" t="s">
        <v>40</v>
      </c>
      <c r="L165" s="78" t="s">
        <v>40</v>
      </c>
      <c r="M165" s="13" t="s">
        <v>39</v>
      </c>
      <c r="N165" s="79" t="s">
        <v>41</v>
      </c>
      <c r="O165" s="78" t="s">
        <v>40</v>
      </c>
      <c r="P165" s="79" t="s">
        <v>41</v>
      </c>
      <c r="Q165" s="79" t="s">
        <v>41</v>
      </c>
      <c r="R165" s="79" t="s">
        <v>41</v>
      </c>
      <c r="S165" s="13" t="s">
        <v>39</v>
      </c>
      <c r="T165" s="15" t="s">
        <v>541</v>
      </c>
      <c r="U165" s="30">
        <v>45980</v>
      </c>
      <c r="V165" s="26">
        <f t="shared" si="12"/>
        <v>0.5</v>
      </c>
      <c r="W165" s="27" t="str">
        <f t="shared" si="13"/>
        <v>ALERTA</v>
      </c>
      <c r="X165" s="18">
        <f t="shared" si="14"/>
        <v>8</v>
      </c>
      <c r="Y165" s="18">
        <f t="shared" si="11"/>
        <v>4</v>
      </c>
    </row>
    <row r="166" spans="1:25" ht="21.75" customHeight="1" x14ac:dyDescent="0.35">
      <c r="A166" s="19">
        <v>2024</v>
      </c>
      <c r="B166" s="75" t="s">
        <v>544</v>
      </c>
      <c r="C166" s="76" t="s">
        <v>545</v>
      </c>
      <c r="D166" s="20" t="s">
        <v>35</v>
      </c>
      <c r="E166" s="21" t="s">
        <v>36</v>
      </c>
      <c r="F166" s="77" t="s">
        <v>74</v>
      </c>
      <c r="G166" s="28"/>
      <c r="H166" s="23" t="s">
        <v>329</v>
      </c>
      <c r="I166" s="24" t="s">
        <v>464</v>
      </c>
      <c r="J166" s="13" t="s">
        <v>39</v>
      </c>
      <c r="K166" s="79" t="s">
        <v>41</v>
      </c>
      <c r="L166" s="79" t="s">
        <v>41</v>
      </c>
      <c r="M166" s="13" t="s">
        <v>39</v>
      </c>
      <c r="N166" s="13" t="s">
        <v>39</v>
      </c>
      <c r="O166" s="13" t="s">
        <v>39</v>
      </c>
      <c r="P166" s="79" t="s">
        <v>41</v>
      </c>
      <c r="Q166" s="79" t="s">
        <v>41</v>
      </c>
      <c r="R166" s="79" t="s">
        <v>41</v>
      </c>
      <c r="S166" s="13" t="s">
        <v>39</v>
      </c>
      <c r="T166" s="25"/>
      <c r="U166" s="31">
        <v>45527</v>
      </c>
      <c r="V166" s="26">
        <f t="shared" si="12"/>
        <v>1</v>
      </c>
      <c r="W166" s="27" t="str">
        <f t="shared" si="13"/>
        <v>CONFORME</v>
      </c>
      <c r="X166" s="18">
        <f t="shared" si="14"/>
        <v>5</v>
      </c>
      <c r="Y166" s="18">
        <f t="shared" si="11"/>
        <v>5</v>
      </c>
    </row>
    <row r="167" spans="1:25" ht="21.75" customHeight="1" x14ac:dyDescent="0.35">
      <c r="A167" s="5">
        <v>2024</v>
      </c>
      <c r="B167" s="73" t="s">
        <v>546</v>
      </c>
      <c r="C167" s="74" t="s">
        <v>547</v>
      </c>
      <c r="D167" s="8" t="s">
        <v>86</v>
      </c>
      <c r="E167" s="9" t="s">
        <v>120</v>
      </c>
      <c r="F167" s="77" t="s">
        <v>74</v>
      </c>
      <c r="G167" s="29"/>
      <c r="H167" s="11" t="s">
        <v>37</v>
      </c>
      <c r="I167" s="12" t="s">
        <v>548</v>
      </c>
      <c r="J167" s="79" t="s">
        <v>41</v>
      </c>
      <c r="K167" s="79" t="s">
        <v>41</v>
      </c>
      <c r="L167" s="79" t="s">
        <v>41</v>
      </c>
      <c r="M167" s="13" t="s">
        <v>39</v>
      </c>
      <c r="N167" s="79" t="s">
        <v>41</v>
      </c>
      <c r="O167" s="79" t="s">
        <v>41</v>
      </c>
      <c r="P167" s="79" t="s">
        <v>41</v>
      </c>
      <c r="Q167" s="79" t="s">
        <v>41</v>
      </c>
      <c r="R167" s="79" t="s">
        <v>41</v>
      </c>
      <c r="S167" s="13" t="s">
        <v>39</v>
      </c>
      <c r="T167" s="15"/>
      <c r="U167" s="30">
        <v>45819</v>
      </c>
      <c r="V167" s="26">
        <f t="shared" si="12"/>
        <v>1</v>
      </c>
      <c r="W167" s="27" t="str">
        <f t="shared" si="13"/>
        <v>CONFORME</v>
      </c>
      <c r="X167" s="18">
        <f t="shared" si="14"/>
        <v>8</v>
      </c>
      <c r="Y167" s="18">
        <f t="shared" si="11"/>
        <v>8</v>
      </c>
    </row>
    <row r="168" spans="1:25" ht="21.75" customHeight="1" x14ac:dyDescent="0.35">
      <c r="A168" s="19">
        <v>2024</v>
      </c>
      <c r="B168" s="75" t="s">
        <v>549</v>
      </c>
      <c r="C168" s="76" t="s">
        <v>550</v>
      </c>
      <c r="D168" s="20" t="s">
        <v>35</v>
      </c>
      <c r="E168" s="21" t="s">
        <v>200</v>
      </c>
      <c r="F168" s="77" t="s">
        <v>74</v>
      </c>
      <c r="G168" s="28"/>
      <c r="H168" s="23" t="s">
        <v>319</v>
      </c>
      <c r="I168" s="24"/>
      <c r="J168" s="13" t="s">
        <v>39</v>
      </c>
      <c r="K168" s="79" t="s">
        <v>41</v>
      </c>
      <c r="L168" s="79" t="s">
        <v>41</v>
      </c>
      <c r="M168" s="13" t="s">
        <v>39</v>
      </c>
      <c r="N168" s="79" t="s">
        <v>41</v>
      </c>
      <c r="O168" s="13" t="s">
        <v>39</v>
      </c>
      <c r="P168" s="79" t="s">
        <v>41</v>
      </c>
      <c r="Q168" s="13" t="s">
        <v>39</v>
      </c>
      <c r="R168" s="79" t="s">
        <v>41</v>
      </c>
      <c r="S168" s="13" t="s">
        <v>39</v>
      </c>
      <c r="T168" s="25" t="s">
        <v>551</v>
      </c>
      <c r="U168" s="31">
        <v>45294</v>
      </c>
      <c r="V168" s="26">
        <f t="shared" si="12"/>
        <v>1</v>
      </c>
      <c r="W168" s="27" t="str">
        <f t="shared" si="13"/>
        <v>CONFORME</v>
      </c>
      <c r="X168" s="18">
        <f t="shared" si="14"/>
        <v>5</v>
      </c>
      <c r="Y168" s="18">
        <f t="shared" si="11"/>
        <v>5</v>
      </c>
    </row>
    <row r="169" spans="1:25" ht="21.75" customHeight="1" x14ac:dyDescent="0.35">
      <c r="A169" s="5">
        <v>2024</v>
      </c>
      <c r="B169" s="73" t="s">
        <v>552</v>
      </c>
      <c r="C169" s="74" t="s">
        <v>553</v>
      </c>
      <c r="D169" s="8" t="s">
        <v>86</v>
      </c>
      <c r="E169" s="9" t="s">
        <v>238</v>
      </c>
      <c r="F169" s="77" t="s">
        <v>74</v>
      </c>
      <c r="G169" s="29"/>
      <c r="H169" s="11" t="s">
        <v>57</v>
      </c>
      <c r="I169" s="12"/>
      <c r="J169" s="79" t="s">
        <v>41</v>
      </c>
      <c r="K169" s="79" t="s">
        <v>41</v>
      </c>
      <c r="L169" s="78" t="s">
        <v>40</v>
      </c>
      <c r="M169" s="13" t="s">
        <v>39</v>
      </c>
      <c r="N169" s="13" t="s">
        <v>39</v>
      </c>
      <c r="O169" s="78" t="s">
        <v>40</v>
      </c>
      <c r="P169" s="13" t="s">
        <v>39</v>
      </c>
      <c r="Q169" s="79" t="s">
        <v>41</v>
      </c>
      <c r="R169" s="79" t="s">
        <v>41</v>
      </c>
      <c r="S169" s="13" t="s">
        <v>39</v>
      </c>
      <c r="T169" s="15" t="s">
        <v>531</v>
      </c>
      <c r="U169" s="30">
        <v>45798</v>
      </c>
      <c r="V169" s="26">
        <f t="shared" si="12"/>
        <v>0.66666666666666663</v>
      </c>
      <c r="W169" s="27" t="str">
        <f t="shared" si="13"/>
        <v>ALERTA</v>
      </c>
      <c r="X169" s="18">
        <f t="shared" si="14"/>
        <v>6</v>
      </c>
      <c r="Y169" s="18">
        <f t="shared" si="11"/>
        <v>4</v>
      </c>
    </row>
    <row r="170" spans="1:25" ht="21.75" customHeight="1" x14ac:dyDescent="0.35">
      <c r="A170" s="19">
        <v>2024</v>
      </c>
      <c r="B170" s="75" t="s">
        <v>554</v>
      </c>
      <c r="C170" s="76" t="s">
        <v>555</v>
      </c>
      <c r="D170" s="20" t="s">
        <v>86</v>
      </c>
      <c r="E170" s="21" t="s">
        <v>44</v>
      </c>
      <c r="F170" s="77" t="s">
        <v>74</v>
      </c>
      <c r="G170" s="28"/>
      <c r="H170" s="23" t="s">
        <v>353</v>
      </c>
      <c r="I170" s="24" t="s">
        <v>556</v>
      </c>
      <c r="J170" s="79" t="s">
        <v>41</v>
      </c>
      <c r="K170" s="79" t="s">
        <v>41</v>
      </c>
      <c r="L170" s="79" t="s">
        <v>41</v>
      </c>
      <c r="M170" s="79" t="s">
        <v>41</v>
      </c>
      <c r="N170" s="79" t="s">
        <v>41</v>
      </c>
      <c r="O170" s="79" t="s">
        <v>41</v>
      </c>
      <c r="P170" s="33" t="s">
        <v>169</v>
      </c>
      <c r="Q170" s="78" t="s">
        <v>40</v>
      </c>
      <c r="R170" s="79" t="s">
        <v>41</v>
      </c>
      <c r="S170" s="78" t="s">
        <v>40</v>
      </c>
      <c r="T170" s="25" t="s">
        <v>557</v>
      </c>
      <c r="U170" s="31">
        <v>45527</v>
      </c>
      <c r="V170" s="26">
        <f t="shared" si="12"/>
        <v>0.77777777777777779</v>
      </c>
      <c r="W170" s="27" t="str">
        <f t="shared" si="13"/>
        <v>ALERTA</v>
      </c>
      <c r="X170" s="18">
        <f t="shared" si="14"/>
        <v>9</v>
      </c>
      <c r="Y170" s="18">
        <f t="shared" si="11"/>
        <v>7</v>
      </c>
    </row>
    <row r="171" spans="1:25" ht="21.75" customHeight="1" x14ac:dyDescent="0.35">
      <c r="A171" s="5">
        <v>2024</v>
      </c>
      <c r="B171" s="73" t="s">
        <v>558</v>
      </c>
      <c r="C171" s="74" t="s">
        <v>559</v>
      </c>
      <c r="D171" s="8" t="s">
        <v>86</v>
      </c>
      <c r="E171" s="9" t="s">
        <v>36</v>
      </c>
      <c r="F171" s="77" t="s">
        <v>74</v>
      </c>
      <c r="G171" s="29"/>
      <c r="H171" s="11" t="s">
        <v>137</v>
      </c>
      <c r="I171" s="12"/>
      <c r="J171" s="78" t="s">
        <v>40</v>
      </c>
      <c r="K171" s="78" t="s">
        <v>40</v>
      </c>
      <c r="L171" s="79" t="s">
        <v>41</v>
      </c>
      <c r="M171" s="13" t="s">
        <v>39</v>
      </c>
      <c r="N171" s="79" t="s">
        <v>41</v>
      </c>
      <c r="O171" s="78" t="s">
        <v>40</v>
      </c>
      <c r="P171" s="79" t="s">
        <v>41</v>
      </c>
      <c r="Q171" s="79" t="s">
        <v>41</v>
      </c>
      <c r="R171" s="79" t="s">
        <v>41</v>
      </c>
      <c r="S171" s="13" t="s">
        <v>39</v>
      </c>
      <c r="T171" s="15" t="s">
        <v>560</v>
      </c>
      <c r="U171" s="30">
        <v>45980</v>
      </c>
      <c r="V171" s="26">
        <f t="shared" si="12"/>
        <v>0.625</v>
      </c>
      <c r="W171" s="27" t="str">
        <f t="shared" si="13"/>
        <v>ALERTA</v>
      </c>
      <c r="X171" s="18">
        <f t="shared" si="14"/>
        <v>8</v>
      </c>
      <c r="Y171" s="18">
        <f t="shared" si="11"/>
        <v>5</v>
      </c>
    </row>
    <row r="172" spans="1:25" ht="21.75" customHeight="1" x14ac:dyDescent="0.35">
      <c r="A172" s="19">
        <v>2024</v>
      </c>
      <c r="B172" s="75" t="s">
        <v>561</v>
      </c>
      <c r="C172" s="76" t="s">
        <v>195</v>
      </c>
      <c r="D172" s="20" t="s">
        <v>154</v>
      </c>
      <c r="E172" s="21" t="s">
        <v>36</v>
      </c>
      <c r="F172" s="77" t="s">
        <v>74</v>
      </c>
      <c r="G172" s="28"/>
      <c r="H172" s="23" t="s">
        <v>228</v>
      </c>
      <c r="I172" s="24" t="s">
        <v>556</v>
      </c>
      <c r="J172" s="79" t="s">
        <v>41</v>
      </c>
      <c r="K172" s="79" t="s">
        <v>41</v>
      </c>
      <c r="L172" s="79" t="s">
        <v>41</v>
      </c>
      <c r="M172" s="13" t="s">
        <v>39</v>
      </c>
      <c r="N172" s="79" t="s">
        <v>41</v>
      </c>
      <c r="O172" s="79" t="s">
        <v>41</v>
      </c>
      <c r="P172" s="33" t="s">
        <v>169</v>
      </c>
      <c r="Q172" s="33" t="s">
        <v>169</v>
      </c>
      <c r="R172" s="13" t="s">
        <v>39</v>
      </c>
      <c r="S172" s="13" t="s">
        <v>39</v>
      </c>
      <c r="T172" s="25" t="s">
        <v>562</v>
      </c>
      <c r="U172" s="31">
        <v>45813</v>
      </c>
      <c r="V172" s="26">
        <f t="shared" si="12"/>
        <v>1</v>
      </c>
      <c r="W172" s="27" t="str">
        <f t="shared" si="13"/>
        <v>CONFORME</v>
      </c>
      <c r="X172" s="18">
        <f t="shared" ref="X172:X185" si="15">10-COUNTIF(J172:S172,"NO APLICA")-COUNTIF(J172:S172,"-")-COUNTIF(J172:S172,"")</f>
        <v>5</v>
      </c>
      <c r="Y172" s="18">
        <f t="shared" si="11"/>
        <v>5</v>
      </c>
    </row>
    <row r="173" spans="1:25" ht="21.75" customHeight="1" x14ac:dyDescent="0.35">
      <c r="A173" s="5">
        <v>2024</v>
      </c>
      <c r="B173" s="73" t="s">
        <v>563</v>
      </c>
      <c r="C173" s="74" t="s">
        <v>564</v>
      </c>
      <c r="D173" s="8" t="s">
        <v>86</v>
      </c>
      <c r="E173" s="9" t="s">
        <v>36</v>
      </c>
      <c r="F173" s="77" t="s">
        <v>74</v>
      </c>
      <c r="G173" s="29"/>
      <c r="H173" s="11" t="s">
        <v>37</v>
      </c>
      <c r="I173" s="12" t="s">
        <v>565</v>
      </c>
      <c r="J173" s="78" t="s">
        <v>40</v>
      </c>
      <c r="K173" s="79" t="s">
        <v>41</v>
      </c>
      <c r="L173" s="79" t="s">
        <v>41</v>
      </c>
      <c r="M173" s="13" t="s">
        <v>39</v>
      </c>
      <c r="N173" s="79" t="s">
        <v>41</v>
      </c>
      <c r="O173" s="79" t="s">
        <v>41</v>
      </c>
      <c r="P173" s="79" t="s">
        <v>41</v>
      </c>
      <c r="Q173" s="78" t="s">
        <v>40</v>
      </c>
      <c r="R173" s="79" t="s">
        <v>41</v>
      </c>
      <c r="S173" s="13" t="s">
        <v>39</v>
      </c>
      <c r="T173" s="15" t="s">
        <v>566</v>
      </c>
      <c r="U173" s="30">
        <v>45721</v>
      </c>
      <c r="V173" s="26">
        <f t="shared" si="12"/>
        <v>0.75</v>
      </c>
      <c r="W173" s="27" t="str">
        <f t="shared" si="13"/>
        <v>ALERTA</v>
      </c>
      <c r="X173" s="18">
        <f t="shared" si="15"/>
        <v>8</v>
      </c>
      <c r="Y173" s="18">
        <f t="shared" si="11"/>
        <v>6</v>
      </c>
    </row>
    <row r="174" spans="1:25" ht="21.75" customHeight="1" x14ac:dyDescent="0.35">
      <c r="A174" s="19">
        <v>2024</v>
      </c>
      <c r="B174" s="75" t="s">
        <v>567</v>
      </c>
      <c r="C174" s="76" t="s">
        <v>568</v>
      </c>
      <c r="D174" s="20" t="s">
        <v>48</v>
      </c>
      <c r="E174" s="21" t="s">
        <v>120</v>
      </c>
      <c r="F174" s="77" t="s">
        <v>74</v>
      </c>
      <c r="G174" s="28"/>
      <c r="H174" s="23" t="s">
        <v>329</v>
      </c>
      <c r="I174" s="24" t="s">
        <v>415</v>
      </c>
      <c r="J174" s="79" t="s">
        <v>41</v>
      </c>
      <c r="K174" s="79" t="s">
        <v>41</v>
      </c>
      <c r="L174" s="79" t="s">
        <v>41</v>
      </c>
      <c r="M174" s="13" t="s">
        <v>39</v>
      </c>
      <c r="N174" s="79" t="s">
        <v>41</v>
      </c>
      <c r="O174" s="79" t="s">
        <v>41</v>
      </c>
      <c r="P174" s="79" t="s">
        <v>41</v>
      </c>
      <c r="Q174" s="79" t="s">
        <v>41</v>
      </c>
      <c r="R174" s="79" t="s">
        <v>41</v>
      </c>
      <c r="S174" s="33" t="s">
        <v>169</v>
      </c>
      <c r="T174" s="25" t="s">
        <v>569</v>
      </c>
      <c r="U174" s="31">
        <v>45527</v>
      </c>
      <c r="V174" s="26">
        <f t="shared" si="12"/>
        <v>1</v>
      </c>
      <c r="W174" s="27" t="str">
        <f t="shared" si="13"/>
        <v>CONFORME</v>
      </c>
      <c r="X174" s="18">
        <f t="shared" si="15"/>
        <v>8</v>
      </c>
      <c r="Y174" s="18">
        <f t="shared" si="11"/>
        <v>8</v>
      </c>
    </row>
    <row r="175" spans="1:25" ht="21.75" customHeight="1" x14ac:dyDescent="0.35">
      <c r="A175" s="5">
        <v>2024</v>
      </c>
      <c r="B175" s="73" t="s">
        <v>570</v>
      </c>
      <c r="C175" s="74" t="s">
        <v>571</v>
      </c>
      <c r="D175" s="8" t="s">
        <v>35</v>
      </c>
      <c r="E175" s="9" t="s">
        <v>36</v>
      </c>
      <c r="F175" s="77" t="s">
        <v>74</v>
      </c>
      <c r="G175" s="29"/>
      <c r="H175" s="11" t="s">
        <v>329</v>
      </c>
      <c r="I175" s="12"/>
      <c r="J175" s="13" t="s">
        <v>39</v>
      </c>
      <c r="K175" s="79" t="s">
        <v>41</v>
      </c>
      <c r="L175" s="79" t="s">
        <v>41</v>
      </c>
      <c r="M175" s="13" t="s">
        <v>39</v>
      </c>
      <c r="N175" s="13" t="s">
        <v>39</v>
      </c>
      <c r="O175" s="13" t="s">
        <v>39</v>
      </c>
      <c r="P175" s="79" t="s">
        <v>41</v>
      </c>
      <c r="Q175" s="13" t="s">
        <v>39</v>
      </c>
      <c r="R175" s="79" t="s">
        <v>41</v>
      </c>
      <c r="S175" s="33" t="s">
        <v>169</v>
      </c>
      <c r="T175" s="15" t="s">
        <v>572</v>
      </c>
      <c r="U175" s="30">
        <v>45527</v>
      </c>
      <c r="V175" s="26">
        <f t="shared" si="12"/>
        <v>1</v>
      </c>
      <c r="W175" s="27" t="str">
        <f t="shared" si="13"/>
        <v>CONFORME</v>
      </c>
      <c r="X175" s="18">
        <f t="shared" si="15"/>
        <v>4</v>
      </c>
      <c r="Y175" s="18">
        <f t="shared" si="11"/>
        <v>4</v>
      </c>
    </row>
    <row r="176" spans="1:25" ht="21.75" customHeight="1" x14ac:dyDescent="0.35">
      <c r="A176" s="19">
        <v>2024</v>
      </c>
      <c r="B176" s="75" t="s">
        <v>573</v>
      </c>
      <c r="C176" s="76" t="s">
        <v>574</v>
      </c>
      <c r="D176" s="20"/>
      <c r="E176" s="21"/>
      <c r="F176" s="77"/>
      <c r="G176" s="28"/>
      <c r="H176" s="23" t="s">
        <v>329</v>
      </c>
      <c r="I176" s="24"/>
      <c r="J176" s="14"/>
      <c r="K176" s="33" t="s">
        <v>169</v>
      </c>
      <c r="L176" s="14"/>
      <c r="M176" s="33" t="s">
        <v>169</v>
      </c>
      <c r="N176" s="33" t="s">
        <v>169</v>
      </c>
      <c r="O176" s="33" t="s">
        <v>169</v>
      </c>
      <c r="P176" s="33" t="s">
        <v>169</v>
      </c>
      <c r="Q176" s="33" t="s">
        <v>169</v>
      </c>
      <c r="R176" s="33" t="s">
        <v>169</v>
      </c>
      <c r="S176" s="13" t="s">
        <v>39</v>
      </c>
      <c r="T176" s="25"/>
      <c r="U176" s="19"/>
      <c r="V176" s="26" t="str">
        <f t="shared" si="12"/>
        <v/>
      </c>
      <c r="W176" s="27" t="str">
        <f t="shared" si="13"/>
        <v>S/D</v>
      </c>
      <c r="X176" s="18">
        <f t="shared" si="15"/>
        <v>0</v>
      </c>
      <c r="Y176" s="18">
        <f t="shared" si="11"/>
        <v>0</v>
      </c>
    </row>
    <row r="177" spans="1:25" ht="21.75" customHeight="1" x14ac:dyDescent="0.35">
      <c r="A177" s="5">
        <v>2024</v>
      </c>
      <c r="B177" s="73" t="s">
        <v>575</v>
      </c>
      <c r="C177" s="74" t="s">
        <v>576</v>
      </c>
      <c r="D177" s="8" t="s">
        <v>86</v>
      </c>
      <c r="E177" s="9" t="s">
        <v>200</v>
      </c>
      <c r="F177" s="77" t="s">
        <v>74</v>
      </c>
      <c r="G177" s="29"/>
      <c r="H177" s="11" t="s">
        <v>57</v>
      </c>
      <c r="I177" s="12" t="s">
        <v>577</v>
      </c>
      <c r="J177" s="79" t="s">
        <v>41</v>
      </c>
      <c r="K177" s="79" t="s">
        <v>41</v>
      </c>
      <c r="L177" s="78" t="s">
        <v>40</v>
      </c>
      <c r="M177" s="79" t="s">
        <v>41</v>
      </c>
      <c r="N177" s="79" t="s">
        <v>41</v>
      </c>
      <c r="O177" s="78" t="s">
        <v>40</v>
      </c>
      <c r="P177" s="79" t="s">
        <v>41</v>
      </c>
      <c r="Q177" s="79" t="s">
        <v>41</v>
      </c>
      <c r="R177" s="79" t="s">
        <v>41</v>
      </c>
      <c r="S177" s="13" t="s">
        <v>39</v>
      </c>
      <c r="T177" s="15" t="s">
        <v>531</v>
      </c>
      <c r="U177" s="30">
        <v>45798</v>
      </c>
      <c r="V177" s="26">
        <f t="shared" si="12"/>
        <v>0.77777777777777779</v>
      </c>
      <c r="W177" s="27" t="str">
        <f t="shared" si="13"/>
        <v>ALERTA</v>
      </c>
      <c r="X177" s="18">
        <f t="shared" si="15"/>
        <v>9</v>
      </c>
      <c r="Y177" s="18">
        <f t="shared" si="11"/>
        <v>7</v>
      </c>
    </row>
    <row r="178" spans="1:25" ht="21.75" customHeight="1" x14ac:dyDescent="0.35">
      <c r="A178" s="19">
        <v>2024</v>
      </c>
      <c r="B178" s="75" t="s">
        <v>578</v>
      </c>
      <c r="C178" s="76" t="s">
        <v>579</v>
      </c>
      <c r="D178" s="20" t="s">
        <v>86</v>
      </c>
      <c r="E178" s="21" t="s">
        <v>36</v>
      </c>
      <c r="F178" s="77" t="s">
        <v>74</v>
      </c>
      <c r="G178" s="28"/>
      <c r="H178" s="23" t="s">
        <v>428</v>
      </c>
      <c r="I178" s="24"/>
      <c r="J178" s="34" t="s">
        <v>283</v>
      </c>
      <c r="K178" s="78" t="s">
        <v>40</v>
      </c>
      <c r="L178" s="79" t="s">
        <v>41</v>
      </c>
      <c r="M178" s="14"/>
      <c r="N178" s="78" t="s">
        <v>40</v>
      </c>
      <c r="O178" s="14"/>
      <c r="P178" s="78" t="s">
        <v>40</v>
      </c>
      <c r="Q178" s="33" t="s">
        <v>169</v>
      </c>
      <c r="R178" s="78" t="s">
        <v>40</v>
      </c>
      <c r="S178" s="78" t="s">
        <v>40</v>
      </c>
      <c r="T178" s="25" t="s">
        <v>580</v>
      </c>
      <c r="U178" s="31">
        <v>45366</v>
      </c>
      <c r="V178" s="26">
        <f t="shared" si="12"/>
        <v>0.21428571428571427</v>
      </c>
      <c r="W178" s="27" t="str">
        <f t="shared" si="13"/>
        <v>CRITICO</v>
      </c>
      <c r="X178" s="18">
        <f t="shared" si="15"/>
        <v>7</v>
      </c>
      <c r="Y178" s="18">
        <f t="shared" si="11"/>
        <v>1.5</v>
      </c>
    </row>
    <row r="179" spans="1:25" ht="21.75" customHeight="1" x14ac:dyDescent="0.35">
      <c r="A179" s="5">
        <v>2024</v>
      </c>
      <c r="B179" s="73" t="s">
        <v>581</v>
      </c>
      <c r="C179" s="74" t="s">
        <v>582</v>
      </c>
      <c r="D179" s="8" t="s">
        <v>48</v>
      </c>
      <c r="E179" s="9" t="s">
        <v>120</v>
      </c>
      <c r="F179" s="77" t="s">
        <v>74</v>
      </c>
      <c r="G179" s="29"/>
      <c r="H179" s="11" t="s">
        <v>329</v>
      </c>
      <c r="I179" s="12" t="s">
        <v>384</v>
      </c>
      <c r="J179" s="79" t="s">
        <v>41</v>
      </c>
      <c r="K179" s="79" t="s">
        <v>41</v>
      </c>
      <c r="L179" s="79" t="s">
        <v>41</v>
      </c>
      <c r="M179" s="13" t="s">
        <v>39</v>
      </c>
      <c r="N179" s="79" t="s">
        <v>41</v>
      </c>
      <c r="O179" s="79" t="s">
        <v>41</v>
      </c>
      <c r="P179" s="79" t="s">
        <v>41</v>
      </c>
      <c r="Q179" s="79" t="s">
        <v>41</v>
      </c>
      <c r="R179" s="79" t="s">
        <v>41</v>
      </c>
      <c r="S179" s="13" t="s">
        <v>39</v>
      </c>
      <c r="T179" s="15" t="s">
        <v>583</v>
      </c>
      <c r="U179" s="30">
        <v>45527</v>
      </c>
      <c r="V179" s="26">
        <f t="shared" si="12"/>
        <v>1</v>
      </c>
      <c r="W179" s="27" t="str">
        <f t="shared" si="13"/>
        <v>CONFORME</v>
      </c>
      <c r="X179" s="18">
        <f t="shared" si="15"/>
        <v>8</v>
      </c>
      <c r="Y179" s="18">
        <f t="shared" si="11"/>
        <v>8</v>
      </c>
    </row>
    <row r="180" spans="1:25" ht="21.75" customHeight="1" x14ac:dyDescent="0.35">
      <c r="A180" s="19">
        <v>2024</v>
      </c>
      <c r="B180" s="75" t="s">
        <v>584</v>
      </c>
      <c r="C180" s="76" t="s">
        <v>585</v>
      </c>
      <c r="D180" s="20" t="s">
        <v>48</v>
      </c>
      <c r="E180" s="21" t="s">
        <v>120</v>
      </c>
      <c r="F180" s="77" t="s">
        <v>74</v>
      </c>
      <c r="G180" s="28"/>
      <c r="H180" s="23" t="s">
        <v>329</v>
      </c>
      <c r="I180" s="24" t="s">
        <v>294</v>
      </c>
      <c r="J180" s="79" t="s">
        <v>41</v>
      </c>
      <c r="K180" s="79" t="s">
        <v>41</v>
      </c>
      <c r="L180" s="79" t="s">
        <v>41</v>
      </c>
      <c r="M180" s="13" t="s">
        <v>39</v>
      </c>
      <c r="N180" s="79" t="s">
        <v>41</v>
      </c>
      <c r="O180" s="79" t="s">
        <v>41</v>
      </c>
      <c r="P180" s="79" t="s">
        <v>41</v>
      </c>
      <c r="Q180" s="79" t="s">
        <v>41</v>
      </c>
      <c r="R180" s="79" t="s">
        <v>41</v>
      </c>
      <c r="S180" s="13" t="s">
        <v>39</v>
      </c>
      <c r="T180" s="25" t="s">
        <v>586</v>
      </c>
      <c r="U180" s="31">
        <v>45527</v>
      </c>
      <c r="V180" s="26">
        <f t="shared" si="12"/>
        <v>1</v>
      </c>
      <c r="W180" s="27" t="str">
        <f t="shared" si="13"/>
        <v>CONFORME</v>
      </c>
      <c r="X180" s="18">
        <f t="shared" si="15"/>
        <v>8</v>
      </c>
      <c r="Y180" s="18">
        <f t="shared" si="11"/>
        <v>8</v>
      </c>
    </row>
    <row r="181" spans="1:25" ht="21.75" customHeight="1" x14ac:dyDescent="0.35">
      <c r="A181" s="5">
        <v>2024</v>
      </c>
      <c r="B181" s="73" t="s">
        <v>587</v>
      </c>
      <c r="C181" s="74" t="s">
        <v>588</v>
      </c>
      <c r="D181" s="8" t="s">
        <v>86</v>
      </c>
      <c r="E181" s="9" t="s">
        <v>36</v>
      </c>
      <c r="F181" s="77" t="s">
        <v>74</v>
      </c>
      <c r="G181" s="29"/>
      <c r="H181" s="11" t="s">
        <v>428</v>
      </c>
      <c r="I181" s="12"/>
      <c r="J181" s="79" t="s">
        <v>41</v>
      </c>
      <c r="K181" s="78" t="s">
        <v>40</v>
      </c>
      <c r="L181" s="79" t="s">
        <v>41</v>
      </c>
      <c r="M181" s="14"/>
      <c r="N181" s="79" t="s">
        <v>41</v>
      </c>
      <c r="O181" s="79" t="s">
        <v>41</v>
      </c>
      <c r="P181" s="78" t="s">
        <v>40</v>
      </c>
      <c r="Q181" s="13" t="s">
        <v>39</v>
      </c>
      <c r="R181" s="79" t="s">
        <v>41</v>
      </c>
      <c r="S181" s="78" t="s">
        <v>40</v>
      </c>
      <c r="T181" s="15" t="s">
        <v>589</v>
      </c>
      <c r="U181" s="30">
        <v>45366</v>
      </c>
      <c r="V181" s="26">
        <f t="shared" si="12"/>
        <v>0.625</v>
      </c>
      <c r="W181" s="27" t="str">
        <f t="shared" si="13"/>
        <v>ALERTA</v>
      </c>
      <c r="X181" s="18">
        <f t="shared" si="15"/>
        <v>8</v>
      </c>
      <c r="Y181" s="18">
        <f t="shared" si="11"/>
        <v>5</v>
      </c>
    </row>
    <row r="182" spans="1:25" ht="21.75" customHeight="1" x14ac:dyDescent="0.35">
      <c r="A182" s="19">
        <v>2024</v>
      </c>
      <c r="B182" s="75" t="s">
        <v>590</v>
      </c>
      <c r="C182" s="76" t="s">
        <v>591</v>
      </c>
      <c r="D182" s="20" t="s">
        <v>86</v>
      </c>
      <c r="E182" s="21" t="s">
        <v>36</v>
      </c>
      <c r="F182" s="77" t="s">
        <v>74</v>
      </c>
      <c r="G182" s="28"/>
      <c r="H182" s="23" t="s">
        <v>37</v>
      </c>
      <c r="I182" s="24" t="s">
        <v>592</v>
      </c>
      <c r="J182" s="79" t="s">
        <v>41</v>
      </c>
      <c r="K182" s="79" t="s">
        <v>41</v>
      </c>
      <c r="L182" s="79" t="s">
        <v>41</v>
      </c>
      <c r="M182" s="13" t="s">
        <v>39</v>
      </c>
      <c r="N182" s="79" t="s">
        <v>41</v>
      </c>
      <c r="O182" s="79" t="s">
        <v>41</v>
      </c>
      <c r="P182" s="79" t="s">
        <v>41</v>
      </c>
      <c r="Q182" s="78" t="s">
        <v>40</v>
      </c>
      <c r="R182" s="79" t="s">
        <v>41</v>
      </c>
      <c r="S182" s="13" t="s">
        <v>39</v>
      </c>
      <c r="T182" s="25" t="s">
        <v>593</v>
      </c>
      <c r="U182" s="31">
        <v>45819</v>
      </c>
      <c r="V182" s="26">
        <f t="shared" si="12"/>
        <v>0.875</v>
      </c>
      <c r="W182" s="27" t="str">
        <f t="shared" si="13"/>
        <v>ALERTA</v>
      </c>
      <c r="X182" s="18">
        <f t="shared" si="15"/>
        <v>8</v>
      </c>
      <c r="Y182" s="18">
        <f t="shared" si="11"/>
        <v>7</v>
      </c>
    </row>
    <row r="183" spans="1:25" ht="21.75" customHeight="1" x14ac:dyDescent="0.35">
      <c r="A183" s="5">
        <v>2024</v>
      </c>
      <c r="B183" s="73" t="s">
        <v>594</v>
      </c>
      <c r="C183" s="74" t="s">
        <v>595</v>
      </c>
      <c r="D183" s="8" t="s">
        <v>86</v>
      </c>
      <c r="E183" s="9" t="s">
        <v>596</v>
      </c>
      <c r="F183" s="77" t="s">
        <v>74</v>
      </c>
      <c r="G183" s="29"/>
      <c r="H183" s="11" t="s">
        <v>270</v>
      </c>
      <c r="I183" s="12"/>
      <c r="J183" s="79" t="s">
        <v>41</v>
      </c>
      <c r="K183" s="78" t="s">
        <v>40</v>
      </c>
      <c r="L183" s="79" t="s">
        <v>41</v>
      </c>
      <c r="M183" s="13" t="s">
        <v>39</v>
      </c>
      <c r="N183" s="78" t="s">
        <v>40</v>
      </c>
      <c r="O183" s="79" t="s">
        <v>41</v>
      </c>
      <c r="P183" s="13" t="s">
        <v>39</v>
      </c>
      <c r="Q183" s="79" t="s">
        <v>41</v>
      </c>
      <c r="R183" s="78" t="s">
        <v>40</v>
      </c>
      <c r="S183" s="13" t="s">
        <v>39</v>
      </c>
      <c r="T183" s="15" t="s">
        <v>597</v>
      </c>
      <c r="U183" s="30">
        <v>45729</v>
      </c>
      <c r="V183" s="26">
        <f t="shared" si="12"/>
        <v>0.5714285714285714</v>
      </c>
      <c r="W183" s="27" t="str">
        <f t="shared" si="13"/>
        <v>ALERTA</v>
      </c>
      <c r="X183" s="18">
        <f t="shared" si="15"/>
        <v>7</v>
      </c>
      <c r="Y183" s="18">
        <f t="shared" si="11"/>
        <v>4</v>
      </c>
    </row>
    <row r="184" spans="1:25" ht="21.75" customHeight="1" x14ac:dyDescent="0.35">
      <c r="A184" s="19">
        <v>2024</v>
      </c>
      <c r="B184" s="75" t="s">
        <v>598</v>
      </c>
      <c r="C184" s="76" t="s">
        <v>599</v>
      </c>
      <c r="D184" s="20" t="s">
        <v>35</v>
      </c>
      <c r="E184" s="21" t="s">
        <v>82</v>
      </c>
      <c r="F184" s="77" t="s">
        <v>74</v>
      </c>
      <c r="G184" s="28"/>
      <c r="H184" s="23" t="s">
        <v>329</v>
      </c>
      <c r="I184" s="24" t="s">
        <v>169</v>
      </c>
      <c r="J184" s="13" t="s">
        <v>39</v>
      </c>
      <c r="K184" s="13" t="s">
        <v>39</v>
      </c>
      <c r="L184" s="79" t="s">
        <v>41</v>
      </c>
      <c r="M184" s="79" t="s">
        <v>41</v>
      </c>
      <c r="N184" s="79" t="s">
        <v>41</v>
      </c>
      <c r="O184" s="13" t="s">
        <v>39</v>
      </c>
      <c r="P184" s="13" t="s">
        <v>39</v>
      </c>
      <c r="Q184" s="13" t="s">
        <v>39</v>
      </c>
      <c r="R184" s="13" t="s">
        <v>39</v>
      </c>
      <c r="S184" s="13" t="s">
        <v>39</v>
      </c>
      <c r="T184" s="25" t="s">
        <v>600</v>
      </c>
      <c r="U184" s="31">
        <v>45527</v>
      </c>
      <c r="V184" s="26">
        <f t="shared" si="12"/>
        <v>1</v>
      </c>
      <c r="W184" s="27" t="str">
        <f t="shared" si="13"/>
        <v>CONFORME</v>
      </c>
      <c r="X184" s="18">
        <f t="shared" si="15"/>
        <v>3</v>
      </c>
      <c r="Y184" s="18">
        <f t="shared" si="11"/>
        <v>3</v>
      </c>
    </row>
    <row r="185" spans="1:25" ht="21.75" customHeight="1" x14ac:dyDescent="0.35">
      <c r="A185" s="5">
        <v>2024</v>
      </c>
      <c r="B185" s="73" t="s">
        <v>601</v>
      </c>
      <c r="C185" s="74" t="s">
        <v>602</v>
      </c>
      <c r="D185" s="8" t="s">
        <v>86</v>
      </c>
      <c r="E185" s="9" t="s">
        <v>120</v>
      </c>
      <c r="F185" s="77" t="s">
        <v>74</v>
      </c>
      <c r="G185" s="29"/>
      <c r="H185" s="11" t="s">
        <v>137</v>
      </c>
      <c r="I185" s="12" t="s">
        <v>169</v>
      </c>
      <c r="J185" s="78" t="s">
        <v>40</v>
      </c>
      <c r="K185" s="78" t="s">
        <v>40</v>
      </c>
      <c r="L185" s="78" t="s">
        <v>40</v>
      </c>
      <c r="M185" s="13" t="s">
        <v>39</v>
      </c>
      <c r="N185" s="13" t="s">
        <v>39</v>
      </c>
      <c r="O185" s="78" t="s">
        <v>40</v>
      </c>
      <c r="P185" s="78" t="s">
        <v>40</v>
      </c>
      <c r="Q185" s="79" t="s">
        <v>41</v>
      </c>
      <c r="R185" s="78" t="s">
        <v>40</v>
      </c>
      <c r="S185" s="13" t="s">
        <v>39</v>
      </c>
      <c r="T185" s="15" t="s">
        <v>603</v>
      </c>
      <c r="U185" s="30">
        <v>45980</v>
      </c>
      <c r="V185" s="26">
        <f t="shared" si="12"/>
        <v>0.14285714285714285</v>
      </c>
      <c r="W185" s="27" t="str">
        <f t="shared" si="13"/>
        <v>CRITICO</v>
      </c>
      <c r="X185" s="18">
        <f t="shared" si="15"/>
        <v>7</v>
      </c>
      <c r="Y185" s="18">
        <f t="shared" si="11"/>
        <v>1</v>
      </c>
    </row>
  </sheetData>
  <autoFilter ref="A4:W185" xr:uid="{00000000-0001-0000-0000-000000000000}"/>
  <mergeCells count="6">
    <mergeCell ref="A1:W1"/>
    <mergeCell ref="A2:W2"/>
    <mergeCell ref="A3:D3"/>
    <mergeCell ref="E3:G3"/>
    <mergeCell ref="H3:I3"/>
    <mergeCell ref="J3:S3"/>
  </mergeCells>
  <conditionalFormatting sqref="J5:S12 J13:R13 J14:S185">
    <cfRule type="expression" dxfId="37" priority="14">
      <formula>J5="OK"</formula>
    </cfRule>
    <cfRule type="expression" dxfId="36" priority="15">
      <formula>J5="OK (falta firma)"</formula>
    </cfRule>
    <cfRule type="expression" dxfId="35" priority="16">
      <formula>J5="EN PROCESO"</formula>
    </cfRule>
    <cfRule type="expression" dxfId="34" priority="17">
      <formula>J5="PENDIENTE"</formula>
    </cfRule>
    <cfRule type="expression" dxfId="33" priority="18">
      <formula>J5="NO APLICA"</formula>
    </cfRule>
    <cfRule type="expression" dxfId="32" priority="19">
      <formula>J5="DESCARTADA"</formula>
    </cfRule>
  </conditionalFormatting>
  <conditionalFormatting sqref="V5:V185">
    <cfRule type="expression" dxfId="31" priority="20">
      <formula>AND(ISNUMBER(V5),V5&gt;=0.9)</formula>
    </cfRule>
    <cfRule type="expression" dxfId="30" priority="21">
      <formula>AND(ISNUMBER(V5),V5&gt;=0.5)</formula>
    </cfRule>
    <cfRule type="expression" dxfId="29" priority="22">
      <formula>AND(ISNUMBER(V5),V5&lt;0.5)</formula>
    </cfRule>
  </conditionalFormatting>
  <conditionalFormatting sqref="W5:W185">
    <cfRule type="expression" dxfId="28" priority="23">
      <formula>W5="CONFORME"</formula>
    </cfRule>
    <cfRule type="expression" dxfId="27" priority="24">
      <formula>W5="ALERTA"</formula>
    </cfRule>
    <cfRule type="expression" dxfId="26" priority="25">
      <formula>W5="CRITICO"</formula>
    </cfRule>
    <cfRule type="expression" dxfId="25" priority="26">
      <formula>W5="CERRADO"</formula>
    </cfRule>
    <cfRule type="expression" dxfId="24" priority="27">
      <formula>W5="CANCELADO"</formula>
    </cfRule>
    <cfRule type="expression" dxfId="23" priority="28">
      <formula>W5="DESCARTADO"</formula>
    </cfRule>
    <cfRule type="expression" dxfId="22" priority="29">
      <formula>W5="STAND BY"</formula>
    </cfRule>
    <cfRule type="expression" dxfId="21" priority="30">
      <formula>W5="CONFORME"</formula>
    </cfRule>
    <cfRule type="expression" dxfId="20" priority="31">
      <formula>W5="EN RIESGO"</formula>
    </cfRule>
    <cfRule type="expression" dxfId="19" priority="32">
      <formula>W5="CRITICO"</formula>
    </cfRule>
    <cfRule type="expression" dxfId="18" priority="33">
      <formula>W5="CANCELADO"</formula>
    </cfRule>
    <cfRule type="expression" dxfId="17" priority="34">
      <formula>W5="DESCARTADO"</formula>
    </cfRule>
    <cfRule type="expression" dxfId="16" priority="35">
      <formula>W5="STAND BY"</formula>
    </cfRule>
    <cfRule type="expression" dxfId="15" priority="36">
      <formula>W5="S/D"</formula>
    </cfRule>
  </conditionalFormatting>
  <conditionalFormatting sqref="S13">
    <cfRule type="expression" dxfId="14" priority="1">
      <formula>S13="OK"</formula>
    </cfRule>
    <cfRule type="expression" dxfId="13" priority="2">
      <formula>S13="OK (falta firma)"</formula>
    </cfRule>
    <cfRule type="expression" dxfId="12" priority="3">
      <formula>S13="EN PROCESO"</formula>
    </cfRule>
    <cfRule type="expression" dxfId="11" priority="4">
      <formula>S13="PENDIENTE"</formula>
    </cfRule>
    <cfRule type="expression" dxfId="10" priority="5">
      <formula>S13="NO APLICA"</formula>
    </cfRule>
    <cfRule type="expression" dxfId="9" priority="6">
      <formula>S13="DESCARTADA"</formula>
    </cfRule>
  </conditionalFormatting>
  <dataValidations count="3">
    <dataValidation type="list" allowBlank="1" showErrorMessage="1" errorTitle="Valor no válido" error="Seleccione de la lista" sqref="F5:F185" xr:uid="{00000000-0002-0000-0000-000000000000}">
      <formula1>"POR INICIAR,ING,LIC,RI,CONS,GP,SUP,CIERRE,CERRADO,CANCELADO,DESCARTADO,STAND BY"</formula1>
      <formula2>0</formula2>
    </dataValidation>
    <dataValidation type="list" allowBlank="1" sqref="D5:D185" xr:uid="{00000000-0002-0000-0000-000001000000}">
      <formula1>"A,B,C,D"</formula1>
      <formula2>0</formula2>
    </dataValidation>
    <dataValidation type="list" allowBlank="1" showErrorMessage="1" errorTitle="Estado inválido" error="Opciones: OK / OK (falta firma) / EN PROCESO / PENDIENTE / NO APLICA / DESCARTADA / -" sqref="J5:S185" xr:uid="{00000000-0002-0000-0000-000002000000}">
      <formula1>"OK,OK (falta firma),EN PROCESO,PENDIENTE,NO APLICA,DESCARTADA,-"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9C4EEC-CB30-4698-A387-025A1BCA002D}">
          <x14:formula1>
            <xm:f>CATÁLOGOS!$G$4:$G$18</xm:f>
          </x14:formula1>
          <xm:sqref>H6:H185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zoomScale="115" zoomScaleNormal="115" workbookViewId="0">
      <selection activeCell="D3" sqref="D3"/>
    </sheetView>
  </sheetViews>
  <sheetFormatPr baseColWidth="10" defaultColWidth="8.6328125" defaultRowHeight="14.5" x14ac:dyDescent="0.35"/>
  <cols>
    <col min="1" max="1" width="1.54296875" style="1" customWidth="1"/>
    <col min="2" max="2" width="22" style="1" customWidth="1"/>
    <col min="3" max="3" width="13" style="1" customWidth="1"/>
    <col min="4" max="9" width="9.6328125" style="1" customWidth="1"/>
  </cols>
  <sheetData>
    <row r="1" spans="1:9" ht="27.75" customHeight="1" x14ac:dyDescent="0.35">
      <c r="A1" s="91" t="s">
        <v>604</v>
      </c>
      <c r="B1" s="91"/>
      <c r="C1" s="91"/>
      <c r="D1" s="91"/>
      <c r="E1" s="91"/>
      <c r="F1" s="91"/>
      <c r="G1" s="91"/>
      <c r="H1" s="91"/>
      <c r="I1" s="91"/>
    </row>
    <row r="2" spans="1:9" ht="13.5" customHeight="1" x14ac:dyDescent="0.35">
      <c r="A2" s="88" t="s">
        <v>605</v>
      </c>
      <c r="B2" s="88"/>
      <c r="C2" s="88"/>
      <c r="D2" s="88"/>
      <c r="E2" s="88"/>
      <c r="F2" s="88"/>
      <c r="G2" s="88"/>
      <c r="H2" s="88"/>
      <c r="I2" s="88"/>
    </row>
    <row r="3" spans="1:9" ht="25.5" customHeight="1" x14ac:dyDescent="0.35">
      <c r="B3" s="92" t="s">
        <v>606</v>
      </c>
      <c r="C3" s="92"/>
      <c r="D3" s="36">
        <v>0</v>
      </c>
      <c r="E3" s="37" t="str">
        <f>IF(D3=0,"&gt;0","="&amp;D3)</f>
        <v>&gt;0</v>
      </c>
      <c r="F3" s="93" t="s">
        <v>607</v>
      </c>
      <c r="G3" s="93"/>
      <c r="H3" s="93"/>
    </row>
    <row r="5" spans="1:9" ht="21.75" customHeight="1" x14ac:dyDescent="0.35">
      <c r="B5" s="90" t="s">
        <v>608</v>
      </c>
      <c r="C5" s="90"/>
      <c r="D5" s="90"/>
      <c r="E5" s="90"/>
      <c r="F5" s="90"/>
      <c r="G5" s="90"/>
      <c r="H5" s="90"/>
    </row>
    <row r="6" spans="1:9" ht="32.5" customHeight="1" x14ac:dyDescent="0.35">
      <c r="B6" s="38" t="s">
        <v>609</v>
      </c>
      <c r="C6" s="38" t="s">
        <v>610</v>
      </c>
      <c r="D6" s="38" t="s">
        <v>611</v>
      </c>
      <c r="E6" s="38" t="s">
        <v>612</v>
      </c>
      <c r="F6" s="38" t="s">
        <v>308</v>
      </c>
      <c r="G6" s="38" t="s">
        <v>613</v>
      </c>
    </row>
    <row r="7" spans="1:9" ht="36" customHeight="1" x14ac:dyDescent="0.35">
      <c r="B7" s="39">
        <f>COUNTIFS(SEGUIMIENTO_PROYECTOS!$A$5:$A$185,DASHBOARD_KPIs!$E$3)</f>
        <v>180</v>
      </c>
      <c r="C7" s="40">
        <f>COUNTIFS(SEGUIMIENTO_PROYECTOS!$A$5:$A$185,DASHBOARD_KPIs!$E$3)-COUNTIFS(SEGUIMIENTO_PROYECTOS!$A$5:$A$185,DASHBOARD_KPIs!$E$3,SEGUIMIENTO_PROYECTOS!$F$5:$F$185,"CERRADO")-COUNTIFS(SEGUIMIENTO_PROYECTOS!$A$5:$A$185,DASHBOARD_KPIs!$E$3,SEGUIMIENTO_PROYECTOS!$F$5:$F$185,"CANCELADO")-COUNTIFS(SEGUIMIENTO_PROYECTOS!$A$5:$A$185,DASHBOARD_KPIs!$E$3,SEGUIMIENTO_PROYECTOS!$F$5:$F$185,"DESCARTADO")</f>
        <v>46</v>
      </c>
      <c r="D7" s="41">
        <f>COUNTIFS(SEGUIMIENTO_PROYECTOS!$A$5:$A$185,DASHBOARD_KPIs!$E$3,SEGUIMIENTO_PROYECTOS!$F$5:$F$185,"CERRADO")</f>
        <v>130</v>
      </c>
      <c r="E7" s="42">
        <f>COUNTIFS(SEGUIMIENTO_PROYECTOS!$A$5:$A$185,DASHBOARD_KPIs!$E$3,SEGUIMIENTO_PROYECTOS!$F$5:$F$185,"CANCELADO")</f>
        <v>4</v>
      </c>
      <c r="F7" s="43">
        <f>COUNTIFS(SEGUIMIENTO_PROYECTOS!$A$5:$A$185,DASHBOARD_KPIs!$E$3,SEGUIMIENTO_PROYECTOS!$F$5:$F$185,"STAND BY")</f>
        <v>4</v>
      </c>
      <c r="G7" s="44">
        <f>IFERROR(SUMIFS(SEGUIMIENTO_PROYECTOS!$Y$5:$Y$185,SEGUIMIENTO_PROYECTOS!$A$5:$A$185,DASHBOARD_KPIs!$E$3)/SUMIFS(SEGUIMIENTO_PROYECTOS!$X$5:$X$185,SEGUIMIENTO_PROYECTOS!$A$5:$A$185,DASHBOARD_KPIs!$E$3),"—")</f>
        <v>0.55511811023622049</v>
      </c>
    </row>
    <row r="8" spans="1:9" ht="13.5" customHeight="1" x14ac:dyDescent="0.35">
      <c r="B8" s="45" t="s">
        <v>614</v>
      </c>
      <c r="C8" s="45" t="s">
        <v>615</v>
      </c>
      <c r="D8" s="45" t="s">
        <v>616</v>
      </c>
      <c r="E8" s="45" t="s">
        <v>617</v>
      </c>
      <c r="F8" s="45" t="s">
        <v>618</v>
      </c>
      <c r="G8" s="45" t="s">
        <v>619</v>
      </c>
    </row>
    <row r="9" spans="1:9" ht="4.5" customHeight="1" x14ac:dyDescent="0.35"/>
    <row r="11" spans="1:9" ht="21.75" customHeight="1" x14ac:dyDescent="0.35">
      <c r="B11" s="90" t="s">
        <v>620</v>
      </c>
      <c r="C11" s="90"/>
      <c r="D11" s="90"/>
      <c r="E11" s="90"/>
      <c r="F11" s="90"/>
      <c r="G11" s="90"/>
      <c r="H11" s="90"/>
    </row>
    <row r="12" spans="1:9" ht="27" customHeight="1" x14ac:dyDescent="0.35">
      <c r="B12" s="38" t="s">
        <v>621</v>
      </c>
      <c r="C12" s="38" t="s">
        <v>692</v>
      </c>
      <c r="D12" s="38" t="s">
        <v>623</v>
      </c>
      <c r="E12" s="38" t="s">
        <v>101</v>
      </c>
      <c r="F12" s="38" t="s">
        <v>308</v>
      </c>
      <c r="G12" s="38" t="s">
        <v>624</v>
      </c>
    </row>
    <row r="13" spans="1:9" ht="36" customHeight="1" x14ac:dyDescent="0.35">
      <c r="B13" s="46">
        <f>COUNTIFS(SEGUIMIENTO_PROYECTOS!$A$5:$A$185,DASHBOARD_KPIs!$E$3,SEGUIMIENTO_PROYECTOS!$W$5:$W$185,"CONFORME")</f>
        <v>33</v>
      </c>
      <c r="C13" s="43">
        <f>COUNTIFS(SEGUIMIENTO_PROYECTOS!$A$5:$A$185,DASHBOARD_KPIs!$E$3,SEGUIMIENTO_PROYECTOS!$W$5:$W$185,"ALERTA")</f>
        <v>74</v>
      </c>
      <c r="D13" s="42">
        <f>COUNTIFS(SEGUIMIENTO_PROYECTOS!$A$5:$A$185,DASHBOARD_KPIs!$E$3,SEGUIMIENTO_PROYECTOS!$W$5:$W$185,"CRITICO")</f>
        <v>62</v>
      </c>
      <c r="E13" s="42">
        <f>COUNTIFS(SEGUIMIENTO_PROYECTOS!$A$5:$A$185,DASHBOARD_KPIs!$E$3,SEGUIMIENTO_PROYECTOS!$W$5:$W$185,"CANCELADO")</f>
        <v>3</v>
      </c>
      <c r="F13" s="43">
        <f>COUNTIFS(SEGUIMIENTO_PROYECTOS!$A$5:$A$185,DASHBOARD_KPIs!$E$3,SEGUIMIENTO_PROYECTOS!$W$5:$W$185,"STAND BY")</f>
        <v>2</v>
      </c>
      <c r="G13" s="47">
        <f>COUNTIFS(SEGUIMIENTO_PROYECTOS!$A$5:$A$185,DASHBOARD_KPIs!$E$3,SEGUIMIENTO_PROYECTOS!$W$5:$W$185,"S/D")</f>
        <v>6</v>
      </c>
    </row>
    <row r="14" spans="1:9" ht="13.5" customHeight="1" x14ac:dyDescent="0.35">
      <c r="B14" s="45" t="s">
        <v>625</v>
      </c>
      <c r="C14" s="45" t="s">
        <v>626</v>
      </c>
      <c r="D14" s="45" t="s">
        <v>627</v>
      </c>
      <c r="E14" s="45" t="s">
        <v>617</v>
      </c>
      <c r="F14" s="45" t="s">
        <v>618</v>
      </c>
      <c r="G14" s="45" t="s">
        <v>628</v>
      </c>
    </row>
    <row r="15" spans="1:9" ht="4.5" customHeight="1" x14ac:dyDescent="0.35"/>
    <row r="17" spans="2:10" ht="21.75" customHeight="1" x14ac:dyDescent="0.35">
      <c r="B17" s="90" t="s">
        <v>629</v>
      </c>
      <c r="C17" s="90"/>
      <c r="D17" s="90"/>
      <c r="E17" s="90"/>
      <c r="F17" s="90"/>
      <c r="G17" s="90"/>
      <c r="H17" s="90"/>
      <c r="I17" s="90"/>
      <c r="J17" s="90"/>
    </row>
    <row r="18" spans="2:10" ht="31.5" customHeight="1" x14ac:dyDescent="0.35">
      <c r="B18" s="3" t="s">
        <v>630</v>
      </c>
      <c r="C18" s="3" t="s">
        <v>631</v>
      </c>
      <c r="D18" s="3" t="s">
        <v>41</v>
      </c>
      <c r="E18" s="3" t="s">
        <v>632</v>
      </c>
      <c r="F18" s="3" t="s">
        <v>633</v>
      </c>
      <c r="G18" s="3" t="s">
        <v>40</v>
      </c>
      <c r="H18" s="3" t="s">
        <v>634</v>
      </c>
      <c r="I18" s="3" t="s">
        <v>635</v>
      </c>
      <c r="J18" s="3" t="s">
        <v>9</v>
      </c>
    </row>
    <row r="19" spans="2:10" ht="18" customHeight="1" x14ac:dyDescent="0.35">
      <c r="B19" s="48" t="s">
        <v>636</v>
      </c>
      <c r="C19" s="29">
        <f>COUNTIFS(SEGUIMIENTO_PROYECTOS!$A$5:$A$185,DASHBOARD_KPIs!$E$3)-COUNTIFS(SEGUIMIENTO_PROYECTOS!$A$5:$A$185,DASHBOARD_KPIs!$E$3,SEGUIMIENTO_PROYECTOS!$J$5:$J$185,"NO APLICA")-COUNTIFS(SEGUIMIENTO_PROYECTOS!$A$5:$A$185,DASHBOARD_KPIs!$E$3,SEGUIMIENTO_PROYECTOS!$J$5:$J$185,"-")-COUNTIFS(SEGUIMIENTO_PROYECTOS!$A$5:$A$185,DASHBOARD_KPIs!$E$3,SEGUIMIENTO_PROYECTOS!$J$5:$J$185,"")</f>
        <v>51</v>
      </c>
      <c r="D19" s="49">
        <f>COUNTIFS(SEGUIMIENTO_PROYECTOS!$A$5:$A$185,DASHBOARD_KPIs!$E$3,SEGUIMIENTO_PROYECTOS!$J$5:$J$185,"OK")</f>
        <v>18</v>
      </c>
      <c r="E19" s="50">
        <f>COUNTIFS(SEGUIMIENTO_PROYECTOS!$A$5:$A$185,DASHBOARD_KPIs!$E$3,SEGUIMIENTO_PROYECTOS!$J$5:$J$185,"OK (falta firma)")</f>
        <v>0</v>
      </c>
      <c r="F19" s="51">
        <f>COUNTIFS(SEGUIMIENTO_PROYECTOS!$A$5:$A$185,DASHBOARD_KPIs!$E$3,SEGUIMIENTO_PROYECTOS!$J$5:$J$185,"EN PROCESO")</f>
        <v>4</v>
      </c>
      <c r="G19" s="52">
        <f>COUNTIFS(SEGUIMIENTO_PROYECTOS!$A$5:$A$185,DASHBOARD_KPIs!$E$3,SEGUIMIENTO_PROYECTOS!$J$5:$J$185,"PENDIENTE")</f>
        <v>29</v>
      </c>
      <c r="H19" s="53">
        <f>COUNTIFS(SEGUIMIENTO_PROYECTOS!$A$5:$A$185,DASHBOARD_KPIs!$E$3,SEGUIMIENTO_PROYECTOS!$J$5:$J$185,"NO APLICA")</f>
        <v>122</v>
      </c>
      <c r="I19" s="54">
        <f>IFERROR((COUNTIFS(SEGUIMIENTO_PROYECTOS!$A$5:$A$185,DASHBOARD_KPIs!$E$3,SEGUIMIENTO_PROYECTOS!$J$5:$J$185,"OK")+COUNTIFS(SEGUIMIENTO_PROYECTOS!$A$5:$A$185,DASHBOARD_KPIs!$E$3,SEGUIMIENTO_PROYECTOS!$J$5:$J$185,"OK (falta firma)")*0.75+COUNTIFS(SEGUIMIENTO_PROYECTOS!$A$5:$A$185,DASHBOARD_KPIs!$E$3,SEGUIMIENTO_PROYECTOS!$J$5:$J$185,"EN PROCESO")*0.5)/(COUNTIFS(SEGUIMIENTO_PROYECTOS!$A$5:$A$185,DASHBOARD_KPIs!$E$3)-COUNTIFS(SEGUIMIENTO_PROYECTOS!$A$5:$A$185,DASHBOARD_KPIs!$E$3,SEGUIMIENTO_PROYECTOS!$J$5:$J$185,"NO APLICA")-COUNTIFS(SEGUIMIENTO_PROYECTOS!$A$5:$A$185,DASHBOARD_KPIs!$E$3,SEGUIMIENTO_PROYECTOS!$J$5:$J$185,"-")-COUNTIFS(SEGUIMIENTO_PROYECTOS!$A$5:$A$185,DASHBOARD_KPIs!$E$3,SEGUIMIENTO_PROYECTOS!$J$5:$J$185,"")),"")</f>
        <v>0.39215686274509803</v>
      </c>
      <c r="J19" s="17" t="str">
        <f>IFERROR(IF(I19&gt;=0.9,"CONFORME",IF(I19&gt;=0.5,"ALERTA","CRITICO")),"S/D")</f>
        <v>CRITICO</v>
      </c>
    </row>
    <row r="20" spans="2:10" ht="18" customHeight="1" x14ac:dyDescent="0.35">
      <c r="B20" s="55" t="s">
        <v>637</v>
      </c>
      <c r="C20" s="28">
        <f>COUNTIFS(SEGUIMIENTO_PROYECTOS!$A$5:$A$185,DASHBOARD_KPIs!$E$3)-COUNTIFS(SEGUIMIENTO_PROYECTOS!$A$5:$A$185,DASHBOARD_KPIs!$E$3,SEGUIMIENTO_PROYECTOS!$K$5:$K$185,"NO APLICA")-COUNTIFS(SEGUIMIENTO_PROYECTOS!$A$5:$A$185,DASHBOARD_KPIs!$E$3,SEGUIMIENTO_PROYECTOS!$K$5:$K$185,"-")-COUNTIFS(SEGUIMIENTO_PROYECTOS!$A$5:$A$185,DASHBOARD_KPIs!$E$3,SEGUIMIENTO_PROYECTOS!$K$5:$K$185,"")</f>
        <v>110</v>
      </c>
      <c r="D20" s="49">
        <f>COUNTIFS(SEGUIMIENTO_PROYECTOS!$A$5:$A$185,DASHBOARD_KPIs!$E$3,SEGUIMIENTO_PROYECTOS!$K$5:$K$185,"OK")</f>
        <v>51</v>
      </c>
      <c r="E20" s="50">
        <f>COUNTIFS(SEGUIMIENTO_PROYECTOS!$A$5:$A$185,DASHBOARD_KPIs!$E$3,SEGUIMIENTO_PROYECTOS!$K$5:$K$185,"OK (falta firma)")</f>
        <v>0</v>
      </c>
      <c r="F20" s="51">
        <f>COUNTIFS(SEGUIMIENTO_PROYECTOS!$A$5:$A$185,DASHBOARD_KPIs!$E$3,SEGUIMIENTO_PROYECTOS!$K$5:$K$185,"EN PROCESO")</f>
        <v>0</v>
      </c>
      <c r="G20" s="52">
        <f>COUNTIFS(SEGUIMIENTO_PROYECTOS!$A$5:$A$185,DASHBOARD_KPIs!$E$3,SEGUIMIENTO_PROYECTOS!$K$5:$K$185,"PENDIENTE")</f>
        <v>52</v>
      </c>
      <c r="H20" s="53">
        <f>COUNTIFS(SEGUIMIENTO_PROYECTOS!$A$5:$A$185,DASHBOARD_KPIs!$E$3,SEGUIMIENTO_PROYECTOS!$K$5:$K$185,"NO APLICA")</f>
        <v>25</v>
      </c>
      <c r="I20" s="54">
        <f>IFERROR((COUNTIFS(SEGUIMIENTO_PROYECTOS!$A$5:$A$185,DASHBOARD_KPIs!$E$3,SEGUIMIENTO_PROYECTOS!$K$5:$K$185,"OK")+COUNTIFS(SEGUIMIENTO_PROYECTOS!$A$5:$A$185,DASHBOARD_KPIs!$E$3,SEGUIMIENTO_PROYECTOS!$K$5:$K$185,"OK (falta firma)")*0.75+COUNTIFS(SEGUIMIENTO_PROYECTOS!$A$5:$A$185,DASHBOARD_KPIs!$E$3,SEGUIMIENTO_PROYECTOS!$K$5:$K$185,"EN PROCESO")*0.5)/(COUNTIFS(SEGUIMIENTO_PROYECTOS!$A$5:$A$185,DASHBOARD_KPIs!$E$3)-COUNTIFS(SEGUIMIENTO_PROYECTOS!$A$5:$A$185,DASHBOARD_KPIs!$E$3,SEGUIMIENTO_PROYECTOS!$K$5:$K$185,"NO APLICA")-COUNTIFS(SEGUIMIENTO_PROYECTOS!$A$5:$A$185,DASHBOARD_KPIs!$E$3,SEGUIMIENTO_PROYECTOS!$K$5:$K$185,"-")-COUNTIFS(SEGUIMIENTO_PROYECTOS!$A$5:$A$185,DASHBOARD_KPIs!$E$3,SEGUIMIENTO_PROYECTOS!$K$5:$K$185,"")),"")</f>
        <v>0.46363636363636362</v>
      </c>
      <c r="J20" s="17" t="str">
        <f t="shared" ref="J20:J26" si="0">IFERROR(IF(I20&gt;=0.9,"CONFORME",IF(I20&gt;=0.5,"ALERTA","CRITICO")),"S/D")</f>
        <v>CRITICO</v>
      </c>
    </row>
    <row r="21" spans="2:10" ht="18" customHeight="1" x14ac:dyDescent="0.35">
      <c r="B21" s="48" t="s">
        <v>638</v>
      </c>
      <c r="C21" s="29">
        <f>COUNTIFS(SEGUIMIENTO_PROYECTOS!$A$5:$A$185,DASHBOARD_KPIs!$E$3)-COUNTIFS(SEGUIMIENTO_PROYECTOS!$A$5:$A$185,DASHBOARD_KPIs!$E$3,SEGUIMIENTO_PROYECTOS!$L$5:$L$185,"NO APLICA")-COUNTIFS(SEGUIMIENTO_PROYECTOS!$A$5:$A$185,DASHBOARD_KPIs!$E$3,SEGUIMIENTO_PROYECTOS!$L$5:$L$185,"-")-COUNTIFS(SEGUIMIENTO_PROYECTOS!$A$5:$A$185,DASHBOARD_KPIs!$E$3,SEGUIMIENTO_PROYECTOS!$L$5:$L$185,"")</f>
        <v>165</v>
      </c>
      <c r="D21" s="49">
        <f>COUNTIFS(SEGUIMIENTO_PROYECTOS!$A$5:$A$185,DASHBOARD_KPIs!$E$3,SEGUIMIENTO_PROYECTOS!$L$5:$L$185,"OK")</f>
        <v>56</v>
      </c>
      <c r="E21" s="50">
        <f>COUNTIFS(SEGUIMIENTO_PROYECTOS!$A$5:$A$185,DASHBOARD_KPIs!$E$3,SEGUIMIENTO_PROYECTOS!$L$5:$L$185,"OK (falta firma)")</f>
        <v>0</v>
      </c>
      <c r="F21" s="51">
        <f>COUNTIFS(SEGUIMIENTO_PROYECTOS!$A$5:$A$185,DASHBOARD_KPIs!$E$3,SEGUIMIENTO_PROYECTOS!$L$5:$L$185,"EN PROCESO")</f>
        <v>8</v>
      </c>
      <c r="G21" s="52">
        <f>COUNTIFS(SEGUIMIENTO_PROYECTOS!$A$5:$A$185,DASHBOARD_KPIs!$E$3,SEGUIMIENTO_PROYECTOS!$L$5:$L$185,"PENDIENTE")</f>
        <v>101</v>
      </c>
      <c r="H21" s="53">
        <f>COUNTIFS(SEGUIMIENTO_PROYECTOS!$A$5:$A$185,DASHBOARD_KPIs!$E$3,SEGUIMIENTO_PROYECTOS!$L$5:$L$185,"NO APLICA")</f>
        <v>4</v>
      </c>
      <c r="I21" s="54">
        <f>IFERROR((COUNTIFS(SEGUIMIENTO_PROYECTOS!$A$5:$A$185,DASHBOARD_KPIs!$E$3,SEGUIMIENTO_PROYECTOS!$L$5:$L$185,"OK")+COUNTIFS(SEGUIMIENTO_PROYECTOS!$A$5:$A$185,DASHBOARD_KPIs!$E$3,SEGUIMIENTO_PROYECTOS!$L$5:$L$185,"OK (falta firma)")*0.75+COUNTIFS(SEGUIMIENTO_PROYECTOS!$A$5:$A$185,DASHBOARD_KPIs!$E$3,SEGUIMIENTO_PROYECTOS!$L$5:$L$185,"EN PROCESO")*0.5)/(COUNTIFS(SEGUIMIENTO_PROYECTOS!$A$5:$A$185,DASHBOARD_KPIs!$E$3)-COUNTIFS(SEGUIMIENTO_PROYECTOS!$A$5:$A$185,DASHBOARD_KPIs!$E$3,SEGUIMIENTO_PROYECTOS!$L$5:$L$185,"NO APLICA")-COUNTIFS(SEGUIMIENTO_PROYECTOS!$A$5:$A$185,DASHBOARD_KPIs!$E$3,SEGUIMIENTO_PROYECTOS!$L$5:$L$185,"-")-COUNTIFS(SEGUIMIENTO_PROYECTOS!$A$5:$A$185,DASHBOARD_KPIs!$E$3,SEGUIMIENTO_PROYECTOS!$L$5:$L$185,"")),"")</f>
        <v>0.36363636363636365</v>
      </c>
      <c r="J21" s="17" t="str">
        <f t="shared" si="0"/>
        <v>CRITICO</v>
      </c>
    </row>
    <row r="22" spans="2:10" ht="18" customHeight="1" x14ac:dyDescent="0.35">
      <c r="B22" s="55" t="s">
        <v>639</v>
      </c>
      <c r="C22" s="28">
        <f>COUNTIFS(SEGUIMIENTO_PROYECTOS!$A$5:$A$185,DASHBOARD_KPIs!$E$3)-COUNTIFS(SEGUIMIENTO_PROYECTOS!$A$5:$A$185,DASHBOARD_KPIs!$E$3,SEGUIMIENTO_PROYECTOS!$M$5:$M$185,"NO APLICA")-COUNTIFS(SEGUIMIENTO_PROYECTOS!$A$5:$A$185,DASHBOARD_KPIs!$E$3,SEGUIMIENTO_PROYECTOS!$M$5:$M$185,"-")-COUNTIFS(SEGUIMIENTO_PROYECTOS!$A$5:$A$185,DASHBOARD_KPIs!$E$3,SEGUIMIENTO_PROYECTOS!$M$5:$M$185,"")</f>
        <v>29</v>
      </c>
      <c r="D22" s="49">
        <f>COUNTIFS(SEGUIMIENTO_PROYECTOS!$A$5:$A$185,DASHBOARD_KPIs!$E$3,SEGUIMIENTO_PROYECTOS!$M$5:$M$185,"OK")</f>
        <v>8</v>
      </c>
      <c r="E22" s="50">
        <f>COUNTIFS(SEGUIMIENTO_PROYECTOS!$A$5:$A$185,DASHBOARD_KPIs!$E$3,SEGUIMIENTO_PROYECTOS!$M$5:$M$185,"OK (falta firma)")</f>
        <v>0</v>
      </c>
      <c r="F22" s="51">
        <f>COUNTIFS(SEGUIMIENTO_PROYECTOS!$A$5:$A$185,DASHBOARD_KPIs!$E$3,SEGUIMIENTO_PROYECTOS!$M$5:$M$185,"EN PROCESO")</f>
        <v>1</v>
      </c>
      <c r="G22" s="52">
        <f>COUNTIFS(SEGUIMIENTO_PROYECTOS!$A$5:$A$185,DASHBOARD_KPIs!$E$3,SEGUIMIENTO_PROYECTOS!$M$5:$M$185,"PENDIENTE")</f>
        <v>20</v>
      </c>
      <c r="H22" s="53">
        <f>COUNTIFS(SEGUIMIENTO_PROYECTOS!$A$5:$A$185,DASHBOARD_KPIs!$E$3,SEGUIMIENTO_PROYECTOS!$M$5:$M$185,"NO APLICA")</f>
        <v>140</v>
      </c>
      <c r="I22" s="54">
        <f>IFERROR((COUNTIFS(SEGUIMIENTO_PROYECTOS!$A$5:$A$185,DASHBOARD_KPIs!$E$3,SEGUIMIENTO_PROYECTOS!$M$5:$M$185,"OK")+COUNTIFS(SEGUIMIENTO_PROYECTOS!$A$5:$A$185,DASHBOARD_KPIs!$E$3,SEGUIMIENTO_PROYECTOS!$M$5:$M$185,"OK (falta firma)")*0.75+COUNTIFS(SEGUIMIENTO_PROYECTOS!$A$5:$A$185,DASHBOARD_KPIs!$E$3,SEGUIMIENTO_PROYECTOS!$M$5:$M$185,"EN PROCESO")*0.5)/(COUNTIFS(SEGUIMIENTO_PROYECTOS!$A$5:$A$185,DASHBOARD_KPIs!$E$3)-COUNTIFS(SEGUIMIENTO_PROYECTOS!$A$5:$A$185,DASHBOARD_KPIs!$E$3,SEGUIMIENTO_PROYECTOS!$M$5:$M$185,"NO APLICA")-COUNTIFS(SEGUIMIENTO_PROYECTOS!$A$5:$A$185,DASHBOARD_KPIs!$E$3,SEGUIMIENTO_PROYECTOS!$M$5:$M$185,"-")-COUNTIFS(SEGUIMIENTO_PROYECTOS!$A$5:$A$185,DASHBOARD_KPIs!$E$3,SEGUIMIENTO_PROYECTOS!$M$5:$M$185,"")),"")</f>
        <v>0.29310344827586204</v>
      </c>
      <c r="J22" s="17" t="str">
        <f t="shared" si="0"/>
        <v>CRITICO</v>
      </c>
    </row>
    <row r="23" spans="2:10" ht="18" customHeight="1" x14ac:dyDescent="0.35">
      <c r="B23" s="48" t="s">
        <v>640</v>
      </c>
      <c r="C23" s="29">
        <f>COUNTIFS(SEGUIMIENTO_PROYECTOS!$A$5:$A$185,DASHBOARD_KPIs!$E$3)-COUNTIFS(SEGUIMIENTO_PROYECTOS!$A$5:$A$185,DASHBOARD_KPIs!$E$3,SEGUIMIENTO_PROYECTOS!$N$5:$N$185,"NO APLICA")-COUNTIFS(SEGUIMIENTO_PROYECTOS!$A$5:$A$185,DASHBOARD_KPIs!$E$3,SEGUIMIENTO_PROYECTOS!$N$5:$N$185,"-")-COUNTIFS(SEGUIMIENTO_PROYECTOS!$A$5:$A$185,DASHBOARD_KPIs!$E$3,SEGUIMIENTO_PROYECTOS!$N$5:$N$185,"")</f>
        <v>53</v>
      </c>
      <c r="D23" s="49">
        <f>COUNTIFS(SEGUIMIENTO_PROYECTOS!$A$5:$A$185,DASHBOARD_KPIs!$E$3,SEGUIMIENTO_PROYECTOS!$N$5:$N$185,"OK")</f>
        <v>35</v>
      </c>
      <c r="E23" s="50">
        <f>COUNTIFS(SEGUIMIENTO_PROYECTOS!$A$5:$A$185,DASHBOARD_KPIs!$E$3,SEGUIMIENTO_PROYECTOS!$N$5:$N$185,"OK (falta firma)")</f>
        <v>0</v>
      </c>
      <c r="F23" s="51">
        <f>COUNTIFS(SEGUIMIENTO_PROYECTOS!$A$5:$A$185,DASHBOARD_KPIs!$E$3,SEGUIMIENTO_PROYECTOS!$N$5:$N$185,"EN PROCESO")</f>
        <v>0</v>
      </c>
      <c r="G23" s="52">
        <f>COUNTIFS(SEGUIMIENTO_PROYECTOS!$A$5:$A$185,DASHBOARD_KPIs!$E$3,SEGUIMIENTO_PROYECTOS!$N$5:$N$185,"PENDIENTE")</f>
        <v>18</v>
      </c>
      <c r="H23" s="53">
        <f>COUNTIFS(SEGUIMIENTO_PROYECTOS!$A$5:$A$185,DASHBOARD_KPIs!$E$3,SEGUIMIENTO_PROYECTOS!$N$5:$N$185,"NO APLICA")</f>
        <v>107</v>
      </c>
      <c r="I23" s="54">
        <f>IFERROR((COUNTIFS(SEGUIMIENTO_PROYECTOS!$A$5:$A$185,DASHBOARD_KPIs!$E$3,SEGUIMIENTO_PROYECTOS!$N$5:$N$185,"OK")+COUNTIFS(SEGUIMIENTO_PROYECTOS!$A$5:$A$185,DASHBOARD_KPIs!$E$3,SEGUIMIENTO_PROYECTOS!$N$5:$N$185,"OK (falta firma)")*0.75+COUNTIFS(SEGUIMIENTO_PROYECTOS!$A$5:$A$185,DASHBOARD_KPIs!$E$3,SEGUIMIENTO_PROYECTOS!$N$5:$N$185,"EN PROCESO")*0.5)/(COUNTIFS(SEGUIMIENTO_PROYECTOS!$A$5:$A$185,DASHBOARD_KPIs!$E$3)-COUNTIFS(SEGUIMIENTO_PROYECTOS!$A$5:$A$185,DASHBOARD_KPIs!$E$3,SEGUIMIENTO_PROYECTOS!$N$5:$N$185,"NO APLICA")-COUNTIFS(SEGUIMIENTO_PROYECTOS!$A$5:$A$185,DASHBOARD_KPIs!$E$3,SEGUIMIENTO_PROYECTOS!$N$5:$N$185,"-")-COUNTIFS(SEGUIMIENTO_PROYECTOS!$A$5:$A$185,DASHBOARD_KPIs!$E$3,SEGUIMIENTO_PROYECTOS!$N$5:$N$185,"")),"")</f>
        <v>0.660377358490566</v>
      </c>
      <c r="J23" s="17" t="str">
        <f t="shared" si="0"/>
        <v>ALERTA</v>
      </c>
    </row>
    <row r="24" spans="2:10" ht="18" customHeight="1" x14ac:dyDescent="0.35">
      <c r="B24" s="55" t="s">
        <v>641</v>
      </c>
      <c r="C24" s="28">
        <f>COUNTIFS(SEGUIMIENTO_PROYECTOS!$A$5:$A$185,DASHBOARD_KPIs!$E$3)-COUNTIFS(SEGUIMIENTO_PROYECTOS!$A$5:$A$185,DASHBOARD_KPIs!$E$3,SEGUIMIENTO_PROYECTOS!$O$5:$O$185,"NO APLICA")-COUNTIFS(SEGUIMIENTO_PROYECTOS!$A$5:$A$185,DASHBOARD_KPIs!$E$3,SEGUIMIENTO_PROYECTOS!$O$5:$O$185,"-")-COUNTIFS(SEGUIMIENTO_PROYECTOS!$A$5:$A$185,DASHBOARD_KPIs!$E$3,SEGUIMIENTO_PROYECTOS!$O$5:$O$185,"")</f>
        <v>36</v>
      </c>
      <c r="D24" s="49">
        <f>COUNTIFS(SEGUIMIENTO_PROYECTOS!$A$5:$A$185,DASHBOARD_KPIs!$E$3,SEGUIMIENTO_PROYECTOS!$O$5:$O$185,"OK")</f>
        <v>13</v>
      </c>
      <c r="E24" s="50">
        <f>COUNTIFS(SEGUIMIENTO_PROYECTOS!$A$5:$A$185,DASHBOARD_KPIs!$E$3,SEGUIMIENTO_PROYECTOS!$O$5:$O$185,"OK (falta firma)")</f>
        <v>0</v>
      </c>
      <c r="F24" s="51">
        <f>COUNTIFS(SEGUIMIENTO_PROYECTOS!$A$5:$A$185,DASHBOARD_KPIs!$E$3,SEGUIMIENTO_PROYECTOS!$O$5:$O$185,"EN PROCESO")</f>
        <v>0</v>
      </c>
      <c r="G24" s="52">
        <f>COUNTIFS(SEGUIMIENTO_PROYECTOS!$A$5:$A$185,DASHBOARD_KPIs!$E$3,SEGUIMIENTO_PROYECTOS!$O$5:$O$185,"PENDIENTE")</f>
        <v>23</v>
      </c>
      <c r="H24" s="53">
        <f>COUNTIFS(SEGUIMIENTO_PROYECTOS!$A$5:$A$185,DASHBOARD_KPIs!$E$3,SEGUIMIENTO_PROYECTOS!$O$5:$O$185,"NO APLICA")</f>
        <v>123</v>
      </c>
      <c r="I24" s="54">
        <f>IFERROR((COUNTIFS(SEGUIMIENTO_PROYECTOS!$A$5:$A$185,DASHBOARD_KPIs!$E$3,SEGUIMIENTO_PROYECTOS!$O$5:$O$185,"OK")+COUNTIFS(SEGUIMIENTO_PROYECTOS!$A$5:$A$185,DASHBOARD_KPIs!$E$3,SEGUIMIENTO_PROYECTOS!$O$5:$O$185,"OK (falta firma)")*0.75+COUNTIFS(SEGUIMIENTO_PROYECTOS!$A$5:$A$185,DASHBOARD_KPIs!$E$3,SEGUIMIENTO_PROYECTOS!$O$5:$O$185,"EN PROCESO")*0.5)/(COUNTIFS(SEGUIMIENTO_PROYECTOS!$A$5:$A$185,DASHBOARD_KPIs!$E$3)-COUNTIFS(SEGUIMIENTO_PROYECTOS!$A$5:$A$185,DASHBOARD_KPIs!$E$3,SEGUIMIENTO_PROYECTOS!$O$5:$O$185,"NO APLICA")-COUNTIFS(SEGUIMIENTO_PROYECTOS!$A$5:$A$185,DASHBOARD_KPIs!$E$3,SEGUIMIENTO_PROYECTOS!$O$5:$O$185,"-")-COUNTIFS(SEGUIMIENTO_PROYECTOS!$A$5:$A$185,DASHBOARD_KPIs!$E$3,SEGUIMIENTO_PROYECTOS!$O$5:$O$185,"")),"")</f>
        <v>0.3611111111111111</v>
      </c>
      <c r="J24" s="17" t="str">
        <f t="shared" si="0"/>
        <v>CRITICO</v>
      </c>
    </row>
    <row r="25" spans="2:10" ht="18" customHeight="1" x14ac:dyDescent="0.35">
      <c r="B25" s="48" t="s">
        <v>642</v>
      </c>
      <c r="C25" s="29">
        <f>COUNTIFS(SEGUIMIENTO_PROYECTOS!$A$5:$A$185,DASHBOARD_KPIs!$E$3)-COUNTIFS(SEGUIMIENTO_PROYECTOS!$A$5:$A$185,DASHBOARD_KPIs!$E$3,SEGUIMIENTO_PROYECTOS!$P$5:$P$185,"NO APLICA")-COUNTIFS(SEGUIMIENTO_PROYECTOS!$A$5:$A$185,DASHBOARD_KPIs!$E$3,SEGUIMIENTO_PROYECTOS!$P$5:$P$185,"-")-COUNTIFS(SEGUIMIENTO_PROYECTOS!$A$5:$A$185,DASHBOARD_KPIs!$E$3,SEGUIMIENTO_PROYECTOS!$P$5:$P$185,"")</f>
        <v>116</v>
      </c>
      <c r="D25" s="49">
        <f>COUNTIFS(SEGUIMIENTO_PROYECTOS!$A$5:$A$185,DASHBOARD_KPIs!$E$3,SEGUIMIENTO_PROYECTOS!$P$5:$P$185,"OK")</f>
        <v>92</v>
      </c>
      <c r="E25" s="50">
        <f>COUNTIFS(SEGUIMIENTO_PROYECTOS!$A$5:$A$185,DASHBOARD_KPIs!$E$3,SEGUIMIENTO_PROYECTOS!$P$5:$P$185,"OK (falta firma)")</f>
        <v>0</v>
      </c>
      <c r="F25" s="51">
        <f>COUNTIFS(SEGUIMIENTO_PROYECTOS!$A$5:$A$185,DASHBOARD_KPIs!$E$3,SEGUIMIENTO_PROYECTOS!$P$5:$P$185,"EN PROCESO")</f>
        <v>0</v>
      </c>
      <c r="G25" s="52">
        <f>COUNTIFS(SEGUIMIENTO_PROYECTOS!$A$5:$A$185,DASHBOARD_KPIs!$E$3,SEGUIMIENTO_PROYECTOS!$P$5:$P$185,"PENDIENTE")</f>
        <v>24</v>
      </c>
      <c r="H25" s="53">
        <f>COUNTIFS(SEGUIMIENTO_PROYECTOS!$A$5:$A$185,DASHBOARD_KPIs!$E$3,SEGUIMIENTO_PROYECTOS!$P$5:$P$185,"NO APLICA")</f>
        <v>52</v>
      </c>
      <c r="I25" s="54">
        <f>IFERROR((COUNTIFS(SEGUIMIENTO_PROYECTOS!$A$5:$A$185,DASHBOARD_KPIs!$E$3,SEGUIMIENTO_PROYECTOS!$P$5:$P$185,"OK")+COUNTIFS(SEGUIMIENTO_PROYECTOS!$A$5:$A$185,DASHBOARD_KPIs!$E$3,SEGUIMIENTO_PROYECTOS!$P$5:$P$185,"OK (falta firma)")*0.75+COUNTIFS(SEGUIMIENTO_PROYECTOS!$A$5:$A$185,DASHBOARD_KPIs!$E$3,SEGUIMIENTO_PROYECTOS!$P$5:$P$185,"EN PROCESO")*0.5)/(COUNTIFS(SEGUIMIENTO_PROYECTOS!$A$5:$A$185,DASHBOARD_KPIs!$E$3)-COUNTIFS(SEGUIMIENTO_PROYECTOS!$A$5:$A$185,DASHBOARD_KPIs!$E$3,SEGUIMIENTO_PROYECTOS!$P$5:$P$185,"NO APLICA")-COUNTIFS(SEGUIMIENTO_PROYECTOS!$A$5:$A$185,DASHBOARD_KPIs!$E$3,SEGUIMIENTO_PROYECTOS!$P$5:$P$185,"-")-COUNTIFS(SEGUIMIENTO_PROYECTOS!$A$5:$A$185,DASHBOARD_KPIs!$E$3,SEGUIMIENTO_PROYECTOS!$P$5:$P$185,"")),"")</f>
        <v>0.7931034482758621</v>
      </c>
      <c r="J25" s="17" t="str">
        <f t="shared" si="0"/>
        <v>ALERTA</v>
      </c>
    </row>
    <row r="26" spans="2:10" ht="18" customHeight="1" x14ac:dyDescent="0.35">
      <c r="B26" s="55" t="s">
        <v>643</v>
      </c>
      <c r="C26" s="28">
        <f>COUNTIFS(SEGUIMIENTO_PROYECTOS!$A$5:$A$185,DASHBOARD_KPIs!$E$3)-COUNTIFS(SEGUIMIENTO_PROYECTOS!$A$5:$A$185,DASHBOARD_KPIs!$E$3,SEGUIMIENTO_PROYECTOS!$Q$5:$Q$185,"NO APLICA")-COUNTIFS(SEGUIMIENTO_PROYECTOS!$A$5:$A$185,DASHBOARD_KPIs!$E$3,SEGUIMIENTO_PROYECTOS!$Q$5:$Q$185,"-")-COUNTIFS(SEGUIMIENTO_PROYECTOS!$A$5:$A$185,DASHBOARD_KPIs!$E$3,SEGUIMIENTO_PROYECTOS!$Q$5:$Q$185,"")</f>
        <v>64</v>
      </c>
      <c r="D26" s="49">
        <f>COUNTIFS(SEGUIMIENTO_PROYECTOS!$A$5:$A$185,DASHBOARD_KPIs!$E$3,SEGUIMIENTO_PROYECTOS!$Q$5:$Q$185,"OK")</f>
        <v>51</v>
      </c>
      <c r="E26" s="50">
        <f>COUNTIFS(SEGUIMIENTO_PROYECTOS!$A$5:$A$185,DASHBOARD_KPIs!$E$3,SEGUIMIENTO_PROYECTOS!$Q$5:$Q$185,"OK (falta firma)")</f>
        <v>0</v>
      </c>
      <c r="F26" s="51">
        <f>COUNTIFS(SEGUIMIENTO_PROYECTOS!$A$5:$A$185,DASHBOARD_KPIs!$E$3,SEGUIMIENTO_PROYECTOS!$Q$5:$Q$185,"EN PROCESO")</f>
        <v>0</v>
      </c>
      <c r="G26" s="52">
        <f>COUNTIFS(SEGUIMIENTO_PROYECTOS!$A$5:$A$185,DASHBOARD_KPIs!$E$3,SEGUIMIENTO_PROYECTOS!$Q$5:$Q$185,"PENDIENTE")</f>
        <v>13</v>
      </c>
      <c r="H26" s="53">
        <f>COUNTIFS(SEGUIMIENTO_PROYECTOS!$A$5:$A$185,DASHBOARD_KPIs!$E$3,SEGUIMIENTO_PROYECTOS!$Q$5:$Q$185,"NO APLICA")</f>
        <v>105</v>
      </c>
      <c r="I26" s="54">
        <f>IFERROR((COUNTIFS(SEGUIMIENTO_PROYECTOS!$A$5:$A$185,DASHBOARD_KPIs!$E$3,SEGUIMIENTO_PROYECTOS!$Q$5:$Q$185,"OK")+COUNTIFS(SEGUIMIENTO_PROYECTOS!$A$5:$A$185,DASHBOARD_KPIs!$E$3,SEGUIMIENTO_PROYECTOS!$Q$5:$Q$185,"OK (falta firma)")*0.75+COUNTIFS(SEGUIMIENTO_PROYECTOS!$A$5:$A$185,DASHBOARD_KPIs!$E$3,SEGUIMIENTO_PROYECTOS!$Q$5:$Q$185,"EN PROCESO")*0.5)/(COUNTIFS(SEGUIMIENTO_PROYECTOS!$A$5:$A$185,DASHBOARD_KPIs!$E$3)-COUNTIFS(SEGUIMIENTO_PROYECTOS!$A$5:$A$185,DASHBOARD_KPIs!$E$3,SEGUIMIENTO_PROYECTOS!$Q$5:$Q$185,"NO APLICA")-COUNTIFS(SEGUIMIENTO_PROYECTOS!$A$5:$A$185,DASHBOARD_KPIs!$E$3,SEGUIMIENTO_PROYECTOS!$Q$5:$Q$185,"-")-COUNTIFS(SEGUIMIENTO_PROYECTOS!$A$5:$A$185,DASHBOARD_KPIs!$E$3,SEGUIMIENTO_PROYECTOS!$Q$5:$Q$185,"")),"")</f>
        <v>0.796875</v>
      </c>
      <c r="J26" s="17" t="str">
        <f t="shared" si="0"/>
        <v>ALERTA</v>
      </c>
    </row>
    <row r="28" spans="2:10" ht="21.75" customHeight="1" x14ac:dyDescent="0.35">
      <c r="B28" s="90" t="s">
        <v>644</v>
      </c>
      <c r="C28" s="90"/>
      <c r="D28" s="90"/>
      <c r="E28" s="90"/>
      <c r="F28" s="90"/>
      <c r="G28" s="90"/>
      <c r="H28" s="90"/>
      <c r="I28" s="90"/>
    </row>
    <row r="29" spans="2:10" ht="27.75" customHeight="1" x14ac:dyDescent="0.35">
      <c r="B29" s="3" t="s">
        <v>645</v>
      </c>
      <c r="C29" s="3" t="s">
        <v>646</v>
      </c>
      <c r="D29" s="3" t="s">
        <v>621</v>
      </c>
      <c r="E29" s="3" t="s">
        <v>692</v>
      </c>
      <c r="F29" s="3" t="s">
        <v>623</v>
      </c>
      <c r="G29" s="3" t="s">
        <v>611</v>
      </c>
      <c r="H29" s="3" t="s">
        <v>308</v>
      </c>
      <c r="I29" s="3" t="s">
        <v>613</v>
      </c>
    </row>
    <row r="30" spans="2:10" ht="15.75" customHeight="1" x14ac:dyDescent="0.35">
      <c r="B30" s="48" t="s">
        <v>57</v>
      </c>
      <c r="C30" s="56">
        <f>COUNTIFS(SEGUIMIENTO_PROYECTOS!$A$5:$A$185,DASHBOARD_KPIs!$E$3,SEGUIMIENTO_PROYECTOS!$H$5:$H$185,"A. Ferrer")-COUNTIFS(SEGUIMIENTO_PROYECTOS!$A$5:$A$185,DASHBOARD_KPIs!$E$3,SEGUIMIENTO_PROYECTOS!$H$5:$H$185,"A. Ferrer",SEGUIMIENTO_PROYECTOS!$F$5:$F$185,"CERRADO")-COUNTIFS(SEGUIMIENTO_PROYECTOS!$A$5:$A$185,DASHBOARD_KPIs!$E$3,SEGUIMIENTO_PROYECTOS!$H$5:$H$185,"A. Ferrer",SEGUIMIENTO_PROYECTOS!$F$5:$F$185,"CANCELADO")-COUNTIFS(SEGUIMIENTO_PROYECTOS!$A$5:$A$185,DASHBOARD_KPIs!$E$3,SEGUIMIENTO_PROYECTOS!$H$5:$H$185,"A. Ferrer",SEGUIMIENTO_PROYECTOS!$F$5:$F$185,"DESCARTADO")</f>
        <v>6</v>
      </c>
      <c r="D30" s="49">
        <f>COUNTIFS(SEGUIMIENTO_PROYECTOS!$A$5:$A$185,DASHBOARD_KPIs!$E$3,SEGUIMIENTO_PROYECTOS!$H$5:$H$185,"A. Ferrer",SEGUIMIENTO_PROYECTOS!$W$5:$W$185,"CONFORME")</f>
        <v>0</v>
      </c>
      <c r="E30" s="57">
        <f>COUNTIFS(SEGUIMIENTO_PROYECTOS!$A$5:$A$185,DASHBOARD_KPIs!$E$3,SEGUIMIENTO_PROYECTOS!$H$5:$H$185,"A. Ferrer",SEGUIMIENTO_PROYECTOS!$W$5:$W$185,"ALERTA")</f>
        <v>5</v>
      </c>
      <c r="F30" s="58">
        <f>COUNTIFS(SEGUIMIENTO_PROYECTOS!$A$5:$A$185,DASHBOARD_KPIs!$E$3,SEGUIMIENTO_PROYECTOS!$H$5:$H$185,"A. Ferrer",SEGUIMIENTO_PROYECTOS!$W$5:$W$185,"CRITICO")</f>
        <v>7</v>
      </c>
      <c r="G30" s="59">
        <f>COUNTIFS(SEGUIMIENTO_PROYECTOS!$A$5:$A$185,DASHBOARD_KPIs!$E$3,SEGUIMIENTO_PROYECTOS!$H$5:$H$185,"A. Ferrer",SEGUIMIENTO_PROYECTOS!$F$5:$F$185,"CERRADO")</f>
        <v>6</v>
      </c>
      <c r="H30" s="50">
        <f>COUNTIFS(SEGUIMIENTO_PROYECTOS!$A$5:$A$185,DASHBOARD_KPIs!$E$3,SEGUIMIENTO_PROYECTOS!$H$5:$H$185,"A. Ferrer",SEGUIMIENTO_PROYECTOS!$W$5:$W$185,"STAND BY")</f>
        <v>0</v>
      </c>
      <c r="I30" s="60">
        <f>IFERROR(SUMIFS(SEGUIMIENTO_PROYECTOS!$Y$5:$Y$185,SEGUIMIENTO_PROYECTOS!$A$5:$A$185,DASHBOARD_KPIs!$E$3,SEGUIMIENTO_PROYECTOS!$H$5:$H$185,"A. Ferrer")/SUMIFS(SEGUIMIENTO_PROYECTOS!$X$5:$X$185,SEGUIMIENTO_PROYECTOS!$A$5:$A$185,DASHBOARD_KPIs!$E$3,SEGUIMIENTO_PROYECTOS!$H$5:$H$185,"A. Ferrer"),"—")</f>
        <v>0.40769230769230769</v>
      </c>
    </row>
    <row r="31" spans="2:10" ht="15.75" customHeight="1" x14ac:dyDescent="0.35">
      <c r="B31" s="55" t="s">
        <v>49</v>
      </c>
      <c r="C31" s="56">
        <f>COUNTIFS(SEGUIMIENTO_PROYECTOS!$A$5:$A$185,DASHBOARD_KPIs!$E$3,SEGUIMIENTO_PROYECTOS!$H$5:$H$185,"B. López")-COUNTIFS(SEGUIMIENTO_PROYECTOS!$A$5:$A$185,DASHBOARD_KPIs!$E$3,SEGUIMIENTO_PROYECTOS!$H$5:$H$185,"B. López",SEGUIMIENTO_PROYECTOS!$F$5:$F$185,"CERRADO")-COUNTIFS(SEGUIMIENTO_PROYECTOS!$A$5:$A$185,DASHBOARD_KPIs!$E$3,SEGUIMIENTO_PROYECTOS!$H$5:$H$185,"B. López",SEGUIMIENTO_PROYECTOS!$F$5:$F$185,"CANCELADO")-COUNTIFS(SEGUIMIENTO_PROYECTOS!$A$5:$A$185,DASHBOARD_KPIs!$E$3,SEGUIMIENTO_PROYECTOS!$H$5:$H$185,"B. López",SEGUIMIENTO_PROYECTOS!$F$5:$F$185,"DESCARTADO")</f>
        <v>13</v>
      </c>
      <c r="D31" s="49">
        <f>COUNTIFS(SEGUIMIENTO_PROYECTOS!$A$5:$A$185,DASHBOARD_KPIs!$E$3,SEGUIMIENTO_PROYECTOS!$H$5:$H$185,"B. López",SEGUIMIENTO_PROYECTOS!$W$5:$W$185,"CONFORME")</f>
        <v>3</v>
      </c>
      <c r="E31" s="57">
        <f>COUNTIFS(SEGUIMIENTO_PROYECTOS!$A$5:$A$185,DASHBOARD_KPIs!$E$3,SEGUIMIENTO_PROYECTOS!$H$5:$H$185,"B. López",SEGUIMIENTO_PROYECTOS!$W$5:$W$185,"ALERTA")</f>
        <v>13</v>
      </c>
      <c r="F31" s="58">
        <f>COUNTIFS(SEGUIMIENTO_PROYECTOS!$A$5:$A$185,DASHBOARD_KPIs!$E$3,SEGUIMIENTO_PROYECTOS!$H$5:$H$185,"B. López",SEGUIMIENTO_PROYECTOS!$W$5:$W$185,"CRITICO")</f>
        <v>11</v>
      </c>
      <c r="G31" s="59">
        <f>COUNTIFS(SEGUIMIENTO_PROYECTOS!$A$5:$A$185,DASHBOARD_KPIs!$E$3,SEGUIMIENTO_PROYECTOS!$H$5:$H$185,"B. López",SEGUIMIENTO_PROYECTOS!$F$5:$F$185,"CERRADO")</f>
        <v>16</v>
      </c>
      <c r="H31" s="50">
        <f>COUNTIFS(SEGUIMIENTO_PROYECTOS!$A$5:$A$185,DASHBOARD_KPIs!$E$3,SEGUIMIENTO_PROYECTOS!$H$5:$H$185,"B. López",SEGUIMIENTO_PROYECTOS!$W$5:$W$185,"STAND BY")</f>
        <v>0</v>
      </c>
      <c r="I31" s="60">
        <f>IFERROR(SUMIFS(SEGUIMIENTO_PROYECTOS!$Y$5:$Y$185,SEGUIMIENTO_PROYECTOS!$A$5:$A$185,DASHBOARD_KPIs!$E$3,SEGUIMIENTO_PROYECTOS!$H$5:$H$185,"B. López")/SUMIFS(SEGUIMIENTO_PROYECTOS!$X$5:$X$185,SEGUIMIENTO_PROYECTOS!$A$5:$A$185,DASHBOARD_KPIs!$E$3,SEGUIMIENTO_PROYECTOS!$H$5:$H$185,"B. López"),"—")</f>
        <v>0.48275862068965519</v>
      </c>
    </row>
    <row r="32" spans="2:10" ht="15.75" customHeight="1" x14ac:dyDescent="0.35">
      <c r="B32" s="48" t="s">
        <v>329</v>
      </c>
      <c r="C32" s="56">
        <f>COUNTIFS(SEGUIMIENTO_PROYECTOS!$A$5:$A$185,DASHBOARD_KPIs!$E$3,SEGUIMIENTO_PROYECTOS!$H$5:$H$185,"C. Castillo")-COUNTIFS(SEGUIMIENTO_PROYECTOS!$A$5:$A$185,DASHBOARD_KPIs!$E$3,SEGUIMIENTO_PROYECTOS!$H$5:$H$185,"C. Castillo",SEGUIMIENTO_PROYECTOS!$F$5:$F$185,"CERRADO")-COUNTIFS(SEGUIMIENTO_PROYECTOS!$A$5:$A$185,DASHBOARD_KPIs!$E$3,SEGUIMIENTO_PROYECTOS!$H$5:$H$185,"C. Castillo",SEGUIMIENTO_PROYECTOS!$F$5:$F$185,"CANCELADO")-COUNTIFS(SEGUIMIENTO_PROYECTOS!$A$5:$A$185,DASHBOARD_KPIs!$E$3,SEGUIMIENTO_PROYECTOS!$H$5:$H$185,"C. Castillo",SEGUIMIENTO_PROYECTOS!$F$5:$F$185,"DESCARTADO")</f>
        <v>1</v>
      </c>
      <c r="D32" s="49">
        <f>COUNTIFS(SEGUIMIENTO_PROYECTOS!$A$5:$A$185,DASHBOARD_KPIs!$E$3,SEGUIMIENTO_PROYECTOS!$H$5:$H$185,"C. Castillo",SEGUIMIENTO_PROYECTOS!$W$5:$W$185,"CONFORME")</f>
        <v>10</v>
      </c>
      <c r="E32" s="57">
        <f>COUNTIFS(SEGUIMIENTO_PROYECTOS!$A$5:$A$185,DASHBOARD_KPIs!$E$3,SEGUIMIENTO_PROYECTOS!$H$5:$H$185,"C. Castillo",SEGUIMIENTO_PROYECTOS!$W$5:$W$185,"ALERTA")</f>
        <v>1</v>
      </c>
      <c r="F32" s="58">
        <f>COUNTIFS(SEGUIMIENTO_PROYECTOS!$A$5:$A$185,DASHBOARD_KPIs!$E$3,SEGUIMIENTO_PROYECTOS!$H$5:$H$185,"C. Castillo",SEGUIMIENTO_PROYECTOS!$W$5:$W$185,"CRITICO")</f>
        <v>0</v>
      </c>
      <c r="G32" s="59">
        <f>COUNTIFS(SEGUIMIENTO_PROYECTOS!$A$5:$A$185,DASHBOARD_KPIs!$E$3,SEGUIMIENTO_PROYECTOS!$H$5:$H$185,"C. Castillo",SEGUIMIENTO_PROYECTOS!$F$5:$F$185,"CERRADO")</f>
        <v>11</v>
      </c>
      <c r="H32" s="50">
        <f>COUNTIFS(SEGUIMIENTO_PROYECTOS!$A$5:$A$185,DASHBOARD_KPIs!$E$3,SEGUIMIENTO_PROYECTOS!$H$5:$H$185,"C. Castillo",SEGUIMIENTO_PROYECTOS!$W$5:$W$185,"STAND BY")</f>
        <v>0</v>
      </c>
      <c r="I32" s="60">
        <f>IFERROR(SUMIFS(SEGUIMIENTO_PROYECTOS!$Y$5:$Y$185,SEGUIMIENTO_PROYECTOS!$A$5:$A$185,DASHBOARD_KPIs!$E$3,SEGUIMIENTO_PROYECTOS!$H$5:$H$185,"C. Castillo")/SUMIFS(SEGUIMIENTO_PROYECTOS!$X$5:$X$185,SEGUIMIENTO_PROYECTOS!$A$5:$A$185,DASHBOARD_KPIs!$E$3,SEGUIMIENTO_PROYECTOS!$H$5:$H$185,"C. Castillo"),"—")</f>
        <v>0.98333333333333328</v>
      </c>
    </row>
    <row r="33" spans="2:9" ht="15.75" customHeight="1" x14ac:dyDescent="0.35">
      <c r="B33" s="55" t="s">
        <v>353</v>
      </c>
      <c r="C33" s="56">
        <f>COUNTIFS(SEGUIMIENTO_PROYECTOS!$A$5:$A$185,DASHBOARD_KPIs!$E$3,SEGUIMIENTO_PROYECTOS!$H$5:$H$185,"C. Castillo / Michael Gómez")-COUNTIFS(SEGUIMIENTO_PROYECTOS!$A$5:$A$185,DASHBOARD_KPIs!$E$3,SEGUIMIENTO_PROYECTOS!$H$5:$H$185,"C. Castillo / Michael Gómez",SEGUIMIENTO_PROYECTOS!$F$5:$F$185,"CERRADO")-COUNTIFS(SEGUIMIENTO_PROYECTOS!$A$5:$A$185,DASHBOARD_KPIs!$E$3,SEGUIMIENTO_PROYECTOS!$H$5:$H$185,"C. Castillo / Michael Gómez",SEGUIMIENTO_PROYECTOS!$F$5:$F$185,"CANCELADO")-COUNTIFS(SEGUIMIENTO_PROYECTOS!$A$5:$A$185,DASHBOARD_KPIs!$E$3,SEGUIMIENTO_PROYECTOS!$H$5:$H$185,"C. Castillo / Michael Gómez",SEGUIMIENTO_PROYECTOS!$F$5:$F$185,"DESCARTADO")</f>
        <v>0</v>
      </c>
      <c r="D33" s="49">
        <f>COUNTIFS(SEGUIMIENTO_PROYECTOS!$A$5:$A$185,DASHBOARD_KPIs!$E$3,SEGUIMIENTO_PROYECTOS!$H$5:$H$185,"C. Castillo / Michael Gómez",SEGUIMIENTO_PROYECTOS!$W$5:$W$185,"CONFORME")</f>
        <v>3</v>
      </c>
      <c r="E33" s="57">
        <f>COUNTIFS(SEGUIMIENTO_PROYECTOS!$A$5:$A$185,DASHBOARD_KPIs!$E$3,SEGUIMIENTO_PROYECTOS!$H$5:$H$185,"C. Castillo / Michael Gómez",SEGUIMIENTO_PROYECTOS!$W$5:$W$185,"ALERTA")</f>
        <v>3</v>
      </c>
      <c r="F33" s="58">
        <f>COUNTIFS(SEGUIMIENTO_PROYECTOS!$A$5:$A$185,DASHBOARD_KPIs!$E$3,SEGUIMIENTO_PROYECTOS!$H$5:$H$185,"C. Castillo / Michael Gómez",SEGUIMIENTO_PROYECTOS!$W$5:$W$185,"CRITICO")</f>
        <v>0</v>
      </c>
      <c r="G33" s="59">
        <f>COUNTIFS(SEGUIMIENTO_PROYECTOS!$A$5:$A$185,DASHBOARD_KPIs!$E$3,SEGUIMIENTO_PROYECTOS!$H$5:$H$185,"C. Castillo / Michael Gómez",SEGUIMIENTO_PROYECTOS!$F$5:$F$185,"CERRADO")</f>
        <v>6</v>
      </c>
      <c r="H33" s="50">
        <f>COUNTIFS(SEGUIMIENTO_PROYECTOS!$A$5:$A$185,DASHBOARD_KPIs!$E$3,SEGUIMIENTO_PROYECTOS!$H$5:$H$185,"C. Castillo / Michael Gómez",SEGUIMIENTO_PROYECTOS!$W$5:$W$185,"STAND BY")</f>
        <v>0</v>
      </c>
      <c r="I33" s="60">
        <f>IFERROR(SUMIFS(SEGUIMIENTO_PROYECTOS!$Y$5:$Y$185,SEGUIMIENTO_PROYECTOS!$A$5:$A$185,DASHBOARD_KPIs!$E$3,SEGUIMIENTO_PROYECTOS!$H$5:$H$185,"C. Castillo / Michael Gómez")/SUMIFS(SEGUIMIENTO_PROYECTOS!$X$5:$X$185,SEGUIMIENTO_PROYECTOS!$A$5:$A$185,DASHBOARD_KPIs!$E$3,SEGUIMIENTO_PROYECTOS!$H$5:$H$185,"C. Castillo / Michael Gómez"),"—")</f>
        <v>0.83333333333333337</v>
      </c>
    </row>
    <row r="34" spans="2:9" ht="15.75" customHeight="1" x14ac:dyDescent="0.35">
      <c r="B34" s="48" t="s">
        <v>319</v>
      </c>
      <c r="C34" s="56">
        <f>COUNTIFS(SEGUIMIENTO_PROYECTOS!$A$5:$A$185,DASHBOARD_KPIs!$E$3,SEGUIMIENTO_PROYECTOS!$H$5:$H$185,"C. Valdizán")-COUNTIFS(SEGUIMIENTO_PROYECTOS!$A$5:$A$185,DASHBOARD_KPIs!$E$3,SEGUIMIENTO_PROYECTOS!$H$5:$H$185,"C. Valdizán",SEGUIMIENTO_PROYECTOS!$F$5:$F$185,"CERRADO")-COUNTIFS(SEGUIMIENTO_PROYECTOS!$A$5:$A$185,DASHBOARD_KPIs!$E$3,SEGUIMIENTO_PROYECTOS!$H$5:$H$185,"C. Valdizán",SEGUIMIENTO_PROYECTOS!$F$5:$F$185,"CANCELADO")-COUNTIFS(SEGUIMIENTO_PROYECTOS!$A$5:$A$185,DASHBOARD_KPIs!$E$3,SEGUIMIENTO_PROYECTOS!$H$5:$H$185,"C. Valdizán",SEGUIMIENTO_PROYECTOS!$F$5:$F$185,"DESCARTADO")</f>
        <v>0</v>
      </c>
      <c r="D34" s="49">
        <f>COUNTIFS(SEGUIMIENTO_PROYECTOS!$A$5:$A$185,DASHBOARD_KPIs!$E$3,SEGUIMIENTO_PROYECTOS!$H$5:$H$185,"C. Valdizán",SEGUIMIENTO_PROYECTOS!$W$5:$W$185,"CONFORME")</f>
        <v>1</v>
      </c>
      <c r="E34" s="57">
        <f>COUNTIFS(SEGUIMIENTO_PROYECTOS!$A$5:$A$185,DASHBOARD_KPIs!$E$3,SEGUIMIENTO_PROYECTOS!$H$5:$H$185,"C. Valdizán",SEGUIMIENTO_PROYECTOS!$W$5:$W$185,"ALERTA")</f>
        <v>0</v>
      </c>
      <c r="F34" s="58">
        <f>COUNTIFS(SEGUIMIENTO_PROYECTOS!$A$5:$A$185,DASHBOARD_KPIs!$E$3,SEGUIMIENTO_PROYECTOS!$H$5:$H$185,"C. Valdizán",SEGUIMIENTO_PROYECTOS!$W$5:$W$185,"CRITICO")</f>
        <v>1</v>
      </c>
      <c r="G34" s="59">
        <f>COUNTIFS(SEGUIMIENTO_PROYECTOS!$A$5:$A$185,DASHBOARD_KPIs!$E$3,SEGUIMIENTO_PROYECTOS!$H$5:$H$185,"C. Valdizán",SEGUIMIENTO_PROYECTOS!$F$5:$F$185,"CERRADO")</f>
        <v>2</v>
      </c>
      <c r="H34" s="50">
        <f>COUNTIFS(SEGUIMIENTO_PROYECTOS!$A$5:$A$185,DASHBOARD_KPIs!$E$3,SEGUIMIENTO_PROYECTOS!$H$5:$H$185,"C. Valdizán",SEGUIMIENTO_PROYECTOS!$W$5:$W$185,"STAND BY")</f>
        <v>0</v>
      </c>
      <c r="I34" s="60">
        <f>IFERROR(SUMIFS(SEGUIMIENTO_PROYECTOS!$Y$5:$Y$185,SEGUIMIENTO_PROYECTOS!$A$5:$A$185,DASHBOARD_KPIs!$E$3,SEGUIMIENTO_PROYECTOS!$H$5:$H$185,"C. Valdizán")/SUMIFS(SEGUIMIENTO_PROYECTOS!$X$5:$X$185,SEGUIMIENTO_PROYECTOS!$A$5:$A$185,DASHBOARD_KPIs!$E$3,SEGUIMIENTO_PROYECTOS!$H$5:$H$185,"C. Valdizán"),"—")</f>
        <v>0.7142857142857143</v>
      </c>
    </row>
    <row r="35" spans="2:9" ht="15.75" customHeight="1" x14ac:dyDescent="0.35">
      <c r="B35" s="55" t="s">
        <v>37</v>
      </c>
      <c r="C35" s="56">
        <f>COUNTIFS(SEGUIMIENTO_PROYECTOS!$A$5:$A$185,DASHBOARD_KPIs!$E$3,SEGUIMIENTO_PROYECTOS!$H$5:$H$185,"F. Choque")-COUNTIFS(SEGUIMIENTO_PROYECTOS!$A$5:$A$185,DASHBOARD_KPIs!$E$3,SEGUIMIENTO_PROYECTOS!$H$5:$H$185,"F. Choque",SEGUIMIENTO_PROYECTOS!$F$5:$F$185,"CERRADO")-COUNTIFS(SEGUIMIENTO_PROYECTOS!$A$5:$A$185,DASHBOARD_KPIs!$E$3,SEGUIMIENTO_PROYECTOS!$H$5:$H$185,"F. Choque",SEGUIMIENTO_PROYECTOS!$F$5:$F$185,"CANCELADO")-COUNTIFS(SEGUIMIENTO_PROYECTOS!$A$5:$A$185,DASHBOARD_KPIs!$E$3,SEGUIMIENTO_PROYECTOS!$H$5:$H$185,"F. Choque",SEGUIMIENTO_PROYECTOS!$F$5:$F$185,"DESCARTADO")</f>
        <v>13</v>
      </c>
      <c r="D35" s="49">
        <f>COUNTIFS(SEGUIMIENTO_PROYECTOS!$A$5:$A$185,DASHBOARD_KPIs!$E$3,SEGUIMIENTO_PROYECTOS!$H$5:$H$185,"F. Choque",SEGUIMIENTO_PROYECTOS!$W$5:$W$185,"CONFORME")</f>
        <v>7</v>
      </c>
      <c r="E35" s="57">
        <f>COUNTIFS(SEGUIMIENTO_PROYECTOS!$A$5:$A$185,DASHBOARD_KPIs!$E$3,SEGUIMIENTO_PROYECTOS!$H$5:$H$185,"F. Choque",SEGUIMIENTO_PROYECTOS!$W$5:$W$185,"ALERTA")</f>
        <v>28</v>
      </c>
      <c r="F35" s="58">
        <f>COUNTIFS(SEGUIMIENTO_PROYECTOS!$A$5:$A$185,DASHBOARD_KPIs!$E$3,SEGUIMIENTO_PROYECTOS!$H$5:$H$185,"F. Choque",SEGUIMIENTO_PROYECTOS!$W$5:$W$185,"CRITICO")</f>
        <v>13</v>
      </c>
      <c r="G35" s="59">
        <f>COUNTIFS(SEGUIMIENTO_PROYECTOS!$A$5:$A$185,DASHBOARD_KPIs!$E$3,SEGUIMIENTO_PROYECTOS!$H$5:$H$185,"F. Choque",SEGUIMIENTO_PROYECTOS!$F$5:$F$185,"CERRADO")</f>
        <v>35</v>
      </c>
      <c r="H35" s="50">
        <f>COUNTIFS(SEGUIMIENTO_PROYECTOS!$A$5:$A$185,DASHBOARD_KPIs!$E$3,SEGUIMIENTO_PROYECTOS!$H$5:$H$185,"F. Choque",SEGUIMIENTO_PROYECTOS!$W$5:$W$185,"STAND BY")</f>
        <v>0</v>
      </c>
      <c r="I35" s="60">
        <f>IFERROR(SUMIFS(SEGUIMIENTO_PROYECTOS!$Y$5:$Y$185,SEGUIMIENTO_PROYECTOS!$A$5:$A$185,DASHBOARD_KPIs!$E$3,SEGUIMIENTO_PROYECTOS!$H$5:$H$185,"F. Choque")/SUMIFS(SEGUIMIENTO_PROYECTOS!$X$5:$X$185,SEGUIMIENTO_PROYECTOS!$A$5:$A$185,DASHBOARD_KPIs!$E$3,SEGUIMIENTO_PROYECTOS!$H$5:$H$185,"F. Choque"),"—")</f>
        <v>0.58809523809523812</v>
      </c>
    </row>
    <row r="36" spans="2:9" ht="15.75" customHeight="1" x14ac:dyDescent="0.35">
      <c r="B36" s="48" t="s">
        <v>270</v>
      </c>
      <c r="C36" s="56">
        <f>COUNTIFS(SEGUIMIENTO_PROYECTOS!$A$5:$A$185,DASHBOARD_KPIs!$E$3,SEGUIMIENTO_PROYECTOS!$H$5:$H$185,"F. Corvera")-COUNTIFS(SEGUIMIENTO_PROYECTOS!$A$5:$A$185,DASHBOARD_KPIs!$E$3,SEGUIMIENTO_PROYECTOS!$H$5:$H$185,"F. Corvera",SEGUIMIENTO_PROYECTOS!$F$5:$F$185,"CERRADO")-COUNTIFS(SEGUIMIENTO_PROYECTOS!$A$5:$A$185,DASHBOARD_KPIs!$E$3,SEGUIMIENTO_PROYECTOS!$H$5:$H$185,"F. Corvera",SEGUIMIENTO_PROYECTOS!$F$5:$F$185,"CANCELADO")-COUNTIFS(SEGUIMIENTO_PROYECTOS!$A$5:$A$185,DASHBOARD_KPIs!$E$3,SEGUIMIENTO_PROYECTOS!$H$5:$H$185,"F. Corvera",SEGUIMIENTO_PROYECTOS!$F$5:$F$185,"DESCARTADO")</f>
        <v>0</v>
      </c>
      <c r="D36" s="49">
        <f>COUNTIFS(SEGUIMIENTO_PROYECTOS!$A$5:$A$185,DASHBOARD_KPIs!$E$3,SEGUIMIENTO_PROYECTOS!$H$5:$H$185,"F. Corvera",SEGUIMIENTO_PROYECTOS!$W$5:$W$185,"CONFORME")</f>
        <v>0</v>
      </c>
      <c r="E36" s="57">
        <f>COUNTIFS(SEGUIMIENTO_PROYECTOS!$A$5:$A$185,DASHBOARD_KPIs!$E$3,SEGUIMIENTO_PROYECTOS!$H$5:$H$185,"F. Corvera",SEGUIMIENTO_PROYECTOS!$W$5:$W$185,"ALERTA")</f>
        <v>1</v>
      </c>
      <c r="F36" s="58">
        <f>COUNTIFS(SEGUIMIENTO_PROYECTOS!$A$5:$A$185,DASHBOARD_KPIs!$E$3,SEGUIMIENTO_PROYECTOS!$H$5:$H$185,"F. Corvera",SEGUIMIENTO_PROYECTOS!$W$5:$W$185,"CRITICO")</f>
        <v>1</v>
      </c>
      <c r="G36" s="59">
        <f>COUNTIFS(SEGUIMIENTO_PROYECTOS!$A$5:$A$185,DASHBOARD_KPIs!$E$3,SEGUIMIENTO_PROYECTOS!$H$5:$H$185,"F. Corvera",SEGUIMIENTO_PROYECTOS!$F$5:$F$185,"CERRADO")</f>
        <v>2</v>
      </c>
      <c r="H36" s="50">
        <f>COUNTIFS(SEGUIMIENTO_PROYECTOS!$A$5:$A$185,DASHBOARD_KPIs!$E$3,SEGUIMIENTO_PROYECTOS!$H$5:$H$185,"F. Corvera",SEGUIMIENTO_PROYECTOS!$W$5:$W$185,"STAND BY")</f>
        <v>0</v>
      </c>
      <c r="I36" s="60">
        <f>IFERROR(SUMIFS(SEGUIMIENTO_PROYECTOS!$Y$5:$Y$185,SEGUIMIENTO_PROYECTOS!$A$5:$A$185,DASHBOARD_KPIs!$E$3,SEGUIMIENTO_PROYECTOS!$H$5:$H$185,"F. Corvera")/SUMIFS(SEGUIMIENTO_PROYECTOS!$X$5:$X$185,SEGUIMIENTO_PROYECTOS!$A$5:$A$185,DASHBOARD_KPIs!$E$3,SEGUIMIENTO_PROYECTOS!$H$5:$H$185,"F. Corvera"),"—")</f>
        <v>0.36363636363636365</v>
      </c>
    </row>
    <row r="37" spans="2:9" ht="15.75" customHeight="1" x14ac:dyDescent="0.35">
      <c r="B37" s="55" t="s">
        <v>395</v>
      </c>
      <c r="C37" s="56">
        <f>COUNTIFS(SEGUIMIENTO_PROYECTOS!$A$5:$A$185,DASHBOARD_KPIs!$E$3,SEGUIMIENTO_PROYECTOS!$H$5:$H$185,"F. Corvera / (Revisión)")-COUNTIFS(SEGUIMIENTO_PROYECTOS!$A$5:$A$185,DASHBOARD_KPIs!$E$3,SEGUIMIENTO_PROYECTOS!$H$5:$H$185,"F. Corvera / (Revisión)",SEGUIMIENTO_PROYECTOS!$F$5:$F$185,"CERRADO")-COUNTIFS(SEGUIMIENTO_PROYECTOS!$A$5:$A$185,DASHBOARD_KPIs!$E$3,SEGUIMIENTO_PROYECTOS!$H$5:$H$185,"F. Corvera / (Revisión)",SEGUIMIENTO_PROYECTOS!$F$5:$F$185,"CANCELADO")-COUNTIFS(SEGUIMIENTO_PROYECTOS!$A$5:$A$185,DASHBOARD_KPIs!$E$3,SEGUIMIENTO_PROYECTOS!$H$5:$H$185,"F. Corvera / (Revisión)",SEGUIMIENTO_PROYECTOS!$F$5:$F$185,"DESCARTADO")</f>
        <v>0</v>
      </c>
      <c r="D37" s="49">
        <f>COUNTIFS(SEGUIMIENTO_PROYECTOS!$A$5:$A$185,DASHBOARD_KPIs!$E$3,SEGUIMIENTO_PROYECTOS!$H$5:$H$185,"F. Corvera / (Revisión)",SEGUIMIENTO_PROYECTOS!$W$5:$W$185,"CONFORME")</f>
        <v>0</v>
      </c>
      <c r="E37" s="57">
        <f>COUNTIFS(SEGUIMIENTO_PROYECTOS!$A$5:$A$185,DASHBOARD_KPIs!$E$3,SEGUIMIENTO_PROYECTOS!$H$5:$H$185,"F. Corvera / (Revisión)",SEGUIMIENTO_PROYECTOS!$W$5:$W$185,"ALERTA")</f>
        <v>1</v>
      </c>
      <c r="F37" s="58">
        <f>COUNTIFS(SEGUIMIENTO_PROYECTOS!$A$5:$A$185,DASHBOARD_KPIs!$E$3,SEGUIMIENTO_PROYECTOS!$H$5:$H$185,"F. Corvera / (Revisión)",SEGUIMIENTO_PROYECTOS!$W$5:$W$185,"CRITICO")</f>
        <v>1</v>
      </c>
      <c r="G37" s="59">
        <f>COUNTIFS(SEGUIMIENTO_PROYECTOS!$A$5:$A$185,DASHBOARD_KPIs!$E$3,SEGUIMIENTO_PROYECTOS!$H$5:$H$185,"F. Corvera / (Revisión)",SEGUIMIENTO_PROYECTOS!$F$5:$F$185,"CERRADO")</f>
        <v>2</v>
      </c>
      <c r="H37" s="50">
        <f>COUNTIFS(SEGUIMIENTO_PROYECTOS!$A$5:$A$185,DASHBOARD_KPIs!$E$3,SEGUIMIENTO_PROYECTOS!$H$5:$H$185,"F. Corvera / (Revisión)",SEGUIMIENTO_PROYECTOS!$W$5:$W$185,"STAND BY")</f>
        <v>0</v>
      </c>
      <c r="I37" s="60">
        <f>IFERROR(SUMIFS(SEGUIMIENTO_PROYECTOS!$Y$5:$Y$185,SEGUIMIENTO_PROYECTOS!$A$5:$A$185,DASHBOARD_KPIs!$E$3,SEGUIMIENTO_PROYECTOS!$H$5:$H$185,"F. Corvera / (Revisión)")/SUMIFS(SEGUIMIENTO_PROYECTOS!$X$5:$X$185,SEGUIMIENTO_PROYECTOS!$A$5:$A$185,DASHBOARD_KPIs!$E$3,SEGUIMIENTO_PROYECTOS!$H$5:$H$185,"F. Corvera / (Revisión)"),"—")</f>
        <v>0.36363636363636365</v>
      </c>
    </row>
    <row r="38" spans="2:9" ht="15.75" customHeight="1" x14ac:dyDescent="0.35">
      <c r="B38" s="48" t="s">
        <v>333</v>
      </c>
      <c r="C38" s="56">
        <f>COUNTIFS(SEGUIMIENTO_PROYECTOS!$A$5:$A$185,DASHBOARD_KPIs!$E$3,SEGUIMIENTO_PROYECTOS!$H$5:$H$185,"Giancarlo G")-COUNTIFS(SEGUIMIENTO_PROYECTOS!$A$5:$A$185,DASHBOARD_KPIs!$E$3,SEGUIMIENTO_PROYECTOS!$H$5:$H$185,"Giancarlo G",SEGUIMIENTO_PROYECTOS!$F$5:$F$185,"CERRADO")-COUNTIFS(SEGUIMIENTO_PROYECTOS!$A$5:$A$185,DASHBOARD_KPIs!$E$3,SEGUIMIENTO_PROYECTOS!$H$5:$H$185,"Giancarlo G",SEGUIMIENTO_PROYECTOS!$F$5:$F$185,"CANCELADO")-COUNTIFS(SEGUIMIENTO_PROYECTOS!$A$5:$A$185,DASHBOARD_KPIs!$E$3,SEGUIMIENTO_PROYECTOS!$H$5:$H$185,"Giancarlo G",SEGUIMIENTO_PROYECTOS!$F$5:$F$185,"DESCARTADO")</f>
        <v>0</v>
      </c>
      <c r="D38" s="49">
        <f>COUNTIFS(SEGUIMIENTO_PROYECTOS!$A$5:$A$185,DASHBOARD_KPIs!$E$3,SEGUIMIENTO_PROYECTOS!$H$5:$H$185,"Giancarlo G",SEGUIMIENTO_PROYECTOS!$W$5:$W$185,"CONFORME")</f>
        <v>0</v>
      </c>
      <c r="E38" s="57">
        <f>COUNTIFS(SEGUIMIENTO_PROYECTOS!$A$5:$A$185,DASHBOARD_KPIs!$E$3,SEGUIMIENTO_PROYECTOS!$H$5:$H$185,"Giancarlo G",SEGUIMIENTO_PROYECTOS!$W$5:$W$185,"ALERTA")</f>
        <v>0</v>
      </c>
      <c r="F38" s="58">
        <f>COUNTIFS(SEGUIMIENTO_PROYECTOS!$A$5:$A$185,DASHBOARD_KPIs!$E$3,SEGUIMIENTO_PROYECTOS!$H$5:$H$185,"Giancarlo G",SEGUIMIENTO_PROYECTOS!$W$5:$W$185,"CRITICO")</f>
        <v>2</v>
      </c>
      <c r="G38" s="59">
        <f>COUNTIFS(SEGUIMIENTO_PROYECTOS!$A$5:$A$185,DASHBOARD_KPIs!$E$3,SEGUIMIENTO_PROYECTOS!$H$5:$H$185,"Giancarlo G",SEGUIMIENTO_PROYECTOS!$F$5:$F$185,"CERRADO")</f>
        <v>2</v>
      </c>
      <c r="H38" s="50">
        <f>COUNTIFS(SEGUIMIENTO_PROYECTOS!$A$5:$A$185,DASHBOARD_KPIs!$E$3,SEGUIMIENTO_PROYECTOS!$H$5:$H$185,"Giancarlo G",SEGUIMIENTO_PROYECTOS!$W$5:$W$185,"STAND BY")</f>
        <v>0</v>
      </c>
      <c r="I38" s="60">
        <f>IFERROR(SUMIFS(SEGUIMIENTO_PROYECTOS!$Y$5:$Y$185,SEGUIMIENTO_PROYECTOS!$A$5:$A$185,DASHBOARD_KPIs!$E$3,SEGUIMIENTO_PROYECTOS!$H$5:$H$185,"Giancarlo G")/SUMIFS(SEGUIMIENTO_PROYECTOS!$X$5:$X$185,SEGUIMIENTO_PROYECTOS!$A$5:$A$185,DASHBOARD_KPIs!$E$3,SEGUIMIENTO_PROYECTOS!$H$5:$H$185,"Giancarlo G"),"—")</f>
        <v>0</v>
      </c>
    </row>
    <row r="39" spans="2:9" ht="15.75" customHeight="1" x14ac:dyDescent="0.35">
      <c r="B39" s="55" t="s">
        <v>245</v>
      </c>
      <c r="C39" s="56">
        <f>COUNTIFS(SEGUIMIENTO_PROYECTOS!$A$5:$A$185,DASHBOARD_KPIs!$E$3,SEGUIMIENTO_PROYECTOS!$H$5:$H$185,"J. Lara")-COUNTIFS(SEGUIMIENTO_PROYECTOS!$A$5:$A$185,DASHBOARD_KPIs!$E$3,SEGUIMIENTO_PROYECTOS!$H$5:$H$185,"J. Lara",SEGUIMIENTO_PROYECTOS!$F$5:$F$185,"CERRADO")-COUNTIFS(SEGUIMIENTO_PROYECTOS!$A$5:$A$185,DASHBOARD_KPIs!$E$3,SEGUIMIENTO_PROYECTOS!$H$5:$H$185,"J. Lara",SEGUIMIENTO_PROYECTOS!$F$5:$F$185,"CANCELADO")-COUNTIFS(SEGUIMIENTO_PROYECTOS!$A$5:$A$185,DASHBOARD_KPIs!$E$3,SEGUIMIENTO_PROYECTOS!$H$5:$H$185,"J. Lara",SEGUIMIENTO_PROYECTOS!$F$5:$F$185,"DESCARTADO")</f>
        <v>0</v>
      </c>
      <c r="D39" s="49">
        <f>COUNTIFS(SEGUIMIENTO_PROYECTOS!$A$5:$A$185,DASHBOARD_KPIs!$E$3,SEGUIMIENTO_PROYECTOS!$H$5:$H$185,"J. Lara",SEGUIMIENTO_PROYECTOS!$W$5:$W$185,"CONFORME")</f>
        <v>5</v>
      </c>
      <c r="E39" s="57">
        <f>COUNTIFS(SEGUIMIENTO_PROYECTOS!$A$5:$A$185,DASHBOARD_KPIs!$E$3,SEGUIMIENTO_PROYECTOS!$H$5:$H$185,"J. Lara",SEGUIMIENTO_PROYECTOS!$W$5:$W$185,"ALERTA")</f>
        <v>5</v>
      </c>
      <c r="F39" s="58">
        <f>COUNTIFS(SEGUIMIENTO_PROYECTOS!$A$5:$A$185,DASHBOARD_KPIs!$E$3,SEGUIMIENTO_PROYECTOS!$H$5:$H$185,"J. Lara",SEGUIMIENTO_PROYECTOS!$W$5:$W$185,"CRITICO")</f>
        <v>1</v>
      </c>
      <c r="G39" s="59">
        <f>COUNTIFS(SEGUIMIENTO_PROYECTOS!$A$5:$A$185,DASHBOARD_KPIs!$E$3,SEGUIMIENTO_PROYECTOS!$H$5:$H$185,"J. Lara",SEGUIMIENTO_PROYECTOS!$F$5:$F$185,"CERRADO")</f>
        <v>11</v>
      </c>
      <c r="H39" s="50">
        <f>COUNTIFS(SEGUIMIENTO_PROYECTOS!$A$5:$A$185,DASHBOARD_KPIs!$E$3,SEGUIMIENTO_PROYECTOS!$H$5:$H$185,"J. Lara",SEGUIMIENTO_PROYECTOS!$W$5:$W$185,"STAND BY")</f>
        <v>0</v>
      </c>
      <c r="I39" s="60">
        <f>IFERROR(SUMIFS(SEGUIMIENTO_PROYECTOS!$Y$5:$Y$185,SEGUIMIENTO_PROYECTOS!$A$5:$A$185,DASHBOARD_KPIs!$E$3,SEGUIMIENTO_PROYECTOS!$H$5:$H$185,"J. Lara")/SUMIFS(SEGUIMIENTO_PROYECTOS!$X$5:$X$185,SEGUIMIENTO_PROYECTOS!$A$5:$A$185,DASHBOARD_KPIs!$E$3,SEGUIMIENTO_PROYECTOS!$H$5:$H$185,"J. Lara"),"—")</f>
        <v>0.75</v>
      </c>
    </row>
    <row r="40" spans="2:9" ht="15.75" customHeight="1" x14ac:dyDescent="0.35">
      <c r="B40" s="48" t="s">
        <v>45</v>
      </c>
      <c r="C40" s="56">
        <f>COUNTIFS(SEGUIMIENTO_PROYECTOS!$A$5:$A$185,DASHBOARD_KPIs!$E$3,SEGUIMIENTO_PROYECTOS!$H$5:$H$185,"M. Becerra")-COUNTIFS(SEGUIMIENTO_PROYECTOS!$A$5:$A$185,DASHBOARD_KPIs!$E$3,SEGUIMIENTO_PROYECTOS!$H$5:$H$185,"M. Becerra",SEGUIMIENTO_PROYECTOS!$F$5:$F$185,"CERRADO")-COUNTIFS(SEGUIMIENTO_PROYECTOS!$A$5:$A$185,DASHBOARD_KPIs!$E$3,SEGUIMIENTO_PROYECTOS!$H$5:$H$185,"M. Becerra",SEGUIMIENTO_PROYECTOS!$F$5:$F$185,"CANCELADO")-COUNTIFS(SEGUIMIENTO_PROYECTOS!$A$5:$A$185,DASHBOARD_KPIs!$E$3,SEGUIMIENTO_PROYECTOS!$H$5:$H$185,"M. Becerra",SEGUIMIENTO_PROYECTOS!$F$5:$F$185,"DESCARTADO")</f>
        <v>8</v>
      </c>
      <c r="D40" s="49">
        <f>COUNTIFS(SEGUIMIENTO_PROYECTOS!$A$5:$A$185,DASHBOARD_KPIs!$E$3,SEGUIMIENTO_PROYECTOS!$H$5:$H$185,"M. Becerra",SEGUIMIENTO_PROYECTOS!$W$5:$W$185,"CONFORME")</f>
        <v>1</v>
      </c>
      <c r="E40" s="57">
        <f>COUNTIFS(SEGUIMIENTO_PROYECTOS!$A$5:$A$185,DASHBOARD_KPIs!$E$3,SEGUIMIENTO_PROYECTOS!$H$5:$H$185,"M. Becerra",SEGUIMIENTO_PROYECTOS!$W$5:$W$185,"ALERTA")</f>
        <v>7</v>
      </c>
      <c r="F40" s="58">
        <f>COUNTIFS(SEGUIMIENTO_PROYECTOS!$A$5:$A$185,DASHBOARD_KPIs!$E$3,SEGUIMIENTO_PROYECTOS!$H$5:$H$185,"M. Becerra",SEGUIMIENTO_PROYECTOS!$W$5:$W$185,"CRITICO")</f>
        <v>7</v>
      </c>
      <c r="G40" s="59">
        <f>COUNTIFS(SEGUIMIENTO_PROYECTOS!$A$5:$A$185,DASHBOARD_KPIs!$E$3,SEGUIMIENTO_PROYECTOS!$H$5:$H$185,"M. Becerra",SEGUIMIENTO_PROYECTOS!$F$5:$F$185,"CERRADO")</f>
        <v>8</v>
      </c>
      <c r="H40" s="50">
        <f>COUNTIFS(SEGUIMIENTO_PROYECTOS!$A$5:$A$185,DASHBOARD_KPIs!$E$3,SEGUIMIENTO_PROYECTOS!$H$5:$H$185,"M. Becerra",SEGUIMIENTO_PROYECTOS!$W$5:$W$185,"STAND BY")</f>
        <v>0</v>
      </c>
      <c r="I40" s="60">
        <f>IFERROR(SUMIFS(SEGUIMIENTO_PROYECTOS!$Y$5:$Y$185,SEGUIMIENTO_PROYECTOS!$A$5:$A$185,DASHBOARD_KPIs!$E$3,SEGUIMIENTO_PROYECTOS!$H$5:$H$185,"M. Becerra")/SUMIFS(SEGUIMIENTO_PROYECTOS!$X$5:$X$185,SEGUIMIENTO_PROYECTOS!$A$5:$A$185,DASHBOARD_KPIs!$E$3,SEGUIMIENTO_PROYECTOS!$H$5:$H$185,"M. Becerra"),"—")</f>
        <v>0.5</v>
      </c>
    </row>
    <row r="41" spans="2:9" ht="15.75" customHeight="1" x14ac:dyDescent="0.35">
      <c r="B41" s="55" t="s">
        <v>228</v>
      </c>
      <c r="C41" s="56">
        <f>COUNTIFS(SEGUIMIENTO_PROYECTOS!$A$5:$A$185,DASHBOARD_KPIs!$E$3,SEGUIMIENTO_PROYECTOS!$H$5:$H$185,"M. Gómez")-COUNTIFS(SEGUIMIENTO_PROYECTOS!$A$5:$A$185,DASHBOARD_KPIs!$E$3,SEGUIMIENTO_PROYECTOS!$H$5:$H$185,"M. Gómez",SEGUIMIENTO_PROYECTOS!$F$5:$F$185,"CERRADO")-COUNTIFS(SEGUIMIENTO_PROYECTOS!$A$5:$A$185,DASHBOARD_KPIs!$E$3,SEGUIMIENTO_PROYECTOS!$H$5:$H$185,"M. Gómez",SEGUIMIENTO_PROYECTOS!$F$5:$F$185,"CANCELADO")-COUNTIFS(SEGUIMIENTO_PROYECTOS!$A$5:$A$185,DASHBOARD_KPIs!$E$3,SEGUIMIENTO_PROYECTOS!$H$5:$H$185,"M. Gómez",SEGUIMIENTO_PROYECTOS!$F$5:$F$185,"DESCARTADO")</f>
        <v>0</v>
      </c>
      <c r="D41" s="49">
        <f>COUNTIFS(SEGUIMIENTO_PROYECTOS!$A$5:$A$185,DASHBOARD_KPIs!$E$3,SEGUIMIENTO_PROYECTOS!$H$5:$H$185,"M. Gómez",SEGUIMIENTO_PROYECTOS!$W$5:$W$185,"CONFORME")</f>
        <v>3</v>
      </c>
      <c r="E41" s="57">
        <f>COUNTIFS(SEGUIMIENTO_PROYECTOS!$A$5:$A$185,DASHBOARD_KPIs!$E$3,SEGUIMIENTO_PROYECTOS!$H$5:$H$185,"M. Gómez",SEGUIMIENTO_PROYECTOS!$W$5:$W$185,"ALERTA")</f>
        <v>6</v>
      </c>
      <c r="F41" s="58">
        <f>COUNTIFS(SEGUIMIENTO_PROYECTOS!$A$5:$A$185,DASHBOARD_KPIs!$E$3,SEGUIMIENTO_PROYECTOS!$H$5:$H$185,"M. Gómez",SEGUIMIENTO_PROYECTOS!$W$5:$W$185,"CRITICO")</f>
        <v>2</v>
      </c>
      <c r="G41" s="59">
        <f>COUNTIFS(SEGUIMIENTO_PROYECTOS!$A$5:$A$185,DASHBOARD_KPIs!$E$3,SEGUIMIENTO_PROYECTOS!$H$5:$H$185,"M. Gómez",SEGUIMIENTO_PROYECTOS!$F$5:$F$185,"CERRADO")</f>
        <v>11</v>
      </c>
      <c r="H41" s="50">
        <f>COUNTIFS(SEGUIMIENTO_PROYECTOS!$A$5:$A$185,DASHBOARD_KPIs!$E$3,SEGUIMIENTO_PROYECTOS!$H$5:$H$185,"M. Gómez",SEGUIMIENTO_PROYECTOS!$W$5:$W$185,"STAND BY")</f>
        <v>0</v>
      </c>
      <c r="I41" s="60">
        <f>IFERROR(SUMIFS(SEGUIMIENTO_PROYECTOS!$Y$5:$Y$185,SEGUIMIENTO_PROYECTOS!$A$5:$A$185,DASHBOARD_KPIs!$E$3,SEGUIMIENTO_PROYECTOS!$H$5:$H$185,"M. Gómez")/SUMIFS(SEGUIMIENTO_PROYECTOS!$X$5:$X$185,SEGUIMIENTO_PROYECTOS!$A$5:$A$185,DASHBOARD_KPIs!$E$3,SEGUIMIENTO_PROYECTOS!$H$5:$H$185,"M. Gómez"),"—")</f>
        <v>0.66666666666666663</v>
      </c>
    </row>
    <row r="42" spans="2:9" ht="15.75" customHeight="1" x14ac:dyDescent="0.35">
      <c r="B42" s="48" t="s">
        <v>428</v>
      </c>
      <c r="C42" s="56">
        <f>COUNTIFS(SEGUIMIENTO_PROYECTOS!$A$5:$A$185,DASHBOARD_KPIs!$E$3,SEGUIMIENTO_PROYECTOS!$H$5:$H$185,"N. Cruz")-COUNTIFS(SEGUIMIENTO_PROYECTOS!$A$5:$A$185,DASHBOARD_KPIs!$E$3,SEGUIMIENTO_PROYECTOS!$H$5:$H$185,"N. Cruz",SEGUIMIENTO_PROYECTOS!$F$5:$F$185,"CERRADO")-COUNTIFS(SEGUIMIENTO_PROYECTOS!$A$5:$A$185,DASHBOARD_KPIs!$E$3,SEGUIMIENTO_PROYECTOS!$H$5:$H$185,"N. Cruz",SEGUIMIENTO_PROYECTOS!$F$5:$F$185,"CANCELADO")-COUNTIFS(SEGUIMIENTO_PROYECTOS!$A$5:$A$185,DASHBOARD_KPIs!$E$3,SEGUIMIENTO_PROYECTOS!$H$5:$H$185,"N. Cruz",SEGUIMIENTO_PROYECTOS!$F$5:$F$185,"DESCARTADO")</f>
        <v>0</v>
      </c>
      <c r="D42" s="49">
        <f>COUNTIFS(SEGUIMIENTO_PROYECTOS!$A$5:$A$185,DASHBOARD_KPIs!$E$3,SEGUIMIENTO_PROYECTOS!$H$5:$H$185,"N. Cruz",SEGUIMIENTO_PROYECTOS!$W$5:$W$185,"CONFORME")</f>
        <v>0</v>
      </c>
      <c r="E42" s="57">
        <f>COUNTIFS(SEGUIMIENTO_PROYECTOS!$A$5:$A$185,DASHBOARD_KPIs!$E$3,SEGUIMIENTO_PROYECTOS!$H$5:$H$185,"N. Cruz",SEGUIMIENTO_PROYECTOS!$W$5:$W$185,"ALERTA")</f>
        <v>2</v>
      </c>
      <c r="F42" s="58">
        <f>COUNTIFS(SEGUIMIENTO_PROYECTOS!$A$5:$A$185,DASHBOARD_KPIs!$E$3,SEGUIMIENTO_PROYECTOS!$H$5:$H$185,"N. Cruz",SEGUIMIENTO_PROYECTOS!$W$5:$W$185,"CRITICO")</f>
        <v>1</v>
      </c>
      <c r="G42" s="59">
        <f>COUNTIFS(SEGUIMIENTO_PROYECTOS!$A$5:$A$185,DASHBOARD_KPIs!$E$3,SEGUIMIENTO_PROYECTOS!$H$5:$H$185,"N. Cruz",SEGUIMIENTO_PROYECTOS!$F$5:$F$185,"CERRADO")</f>
        <v>3</v>
      </c>
      <c r="H42" s="50">
        <f>COUNTIFS(SEGUIMIENTO_PROYECTOS!$A$5:$A$185,DASHBOARD_KPIs!$E$3,SEGUIMIENTO_PROYECTOS!$H$5:$H$185,"N. Cruz",SEGUIMIENTO_PROYECTOS!$W$5:$W$185,"STAND BY")</f>
        <v>0</v>
      </c>
      <c r="I42" s="60">
        <f>IFERROR(SUMIFS(SEGUIMIENTO_PROYECTOS!$Y$5:$Y$185,SEGUIMIENTO_PROYECTOS!$A$5:$A$185,DASHBOARD_KPIs!$E$3,SEGUIMIENTO_PROYECTOS!$H$5:$H$185,"N. Cruz")/SUMIFS(SEGUIMIENTO_PROYECTOS!$X$5:$X$185,SEGUIMIENTO_PROYECTOS!$A$5:$A$185,DASHBOARD_KPIs!$E$3,SEGUIMIENTO_PROYECTOS!$H$5:$H$185,"N. Cruz"),"—")</f>
        <v>0.47222222222222221</v>
      </c>
    </row>
    <row r="43" spans="2:9" ht="15.75" customHeight="1" x14ac:dyDescent="0.35">
      <c r="B43" s="55" t="s">
        <v>137</v>
      </c>
      <c r="C43" s="56">
        <f>COUNTIFS(SEGUIMIENTO_PROYECTOS!$A$5:$A$185,DASHBOARD_KPIs!$E$3,SEGUIMIENTO_PROYECTOS!$H$5:$H$185,"P. Lavado")-COUNTIFS(SEGUIMIENTO_PROYECTOS!$A$5:$A$185,DASHBOARD_KPIs!$E$3,SEGUIMIENTO_PROYECTOS!$H$5:$H$185,"P. Lavado",SEGUIMIENTO_PROYECTOS!$F$5:$F$185,"CERRADO")-COUNTIFS(SEGUIMIENTO_PROYECTOS!$A$5:$A$185,DASHBOARD_KPIs!$E$3,SEGUIMIENTO_PROYECTOS!$H$5:$H$185,"P. Lavado",SEGUIMIENTO_PROYECTOS!$F$5:$F$185,"CANCELADO")-COUNTIFS(SEGUIMIENTO_PROYECTOS!$A$5:$A$185,DASHBOARD_KPIs!$E$3,SEGUIMIENTO_PROYECTOS!$H$5:$H$185,"P. Lavado",SEGUIMIENTO_PROYECTOS!$F$5:$F$185,"DESCARTADO")</f>
        <v>3</v>
      </c>
      <c r="D43" s="49">
        <f>COUNTIFS(SEGUIMIENTO_PROYECTOS!$A$5:$A$185,DASHBOARD_KPIs!$E$3,SEGUIMIENTO_PROYECTOS!$H$5:$H$185,"P. Lavado",SEGUIMIENTO_PROYECTOS!$W$5:$W$185,"CONFORME")</f>
        <v>0</v>
      </c>
      <c r="E43" s="57">
        <f>COUNTIFS(SEGUIMIENTO_PROYECTOS!$A$5:$A$185,DASHBOARD_KPIs!$E$3,SEGUIMIENTO_PROYECTOS!$H$5:$H$185,"P. Lavado",SEGUIMIENTO_PROYECTOS!$W$5:$W$185,"ALERTA")</f>
        <v>2</v>
      </c>
      <c r="F43" s="58">
        <f>COUNTIFS(SEGUIMIENTO_PROYECTOS!$A$5:$A$185,DASHBOARD_KPIs!$E$3,SEGUIMIENTO_PROYECTOS!$H$5:$H$185,"P. Lavado",SEGUIMIENTO_PROYECTOS!$W$5:$W$185,"CRITICO")</f>
        <v>12</v>
      </c>
      <c r="G43" s="59">
        <f>COUNTIFS(SEGUIMIENTO_PROYECTOS!$A$5:$A$185,DASHBOARD_KPIs!$E$3,SEGUIMIENTO_PROYECTOS!$H$5:$H$185,"P. Lavado",SEGUIMIENTO_PROYECTOS!$F$5:$F$185,"CERRADO")</f>
        <v>12</v>
      </c>
      <c r="H43" s="50">
        <f>COUNTIFS(SEGUIMIENTO_PROYECTOS!$A$5:$A$185,DASHBOARD_KPIs!$E$3,SEGUIMIENTO_PROYECTOS!$H$5:$H$185,"P. Lavado",SEGUIMIENTO_PROYECTOS!$W$5:$W$185,"STAND BY")</f>
        <v>0</v>
      </c>
      <c r="I43" s="60">
        <f>IFERROR(SUMIFS(SEGUIMIENTO_PROYECTOS!$Y$5:$Y$185,SEGUIMIENTO_PROYECTOS!$A$5:$A$185,DASHBOARD_KPIs!$E$3,SEGUIMIENTO_PROYECTOS!$H$5:$H$185,"P. Lavado")/SUMIFS(SEGUIMIENTO_PROYECTOS!$X$5:$X$185,SEGUIMIENTO_PROYECTOS!$A$5:$A$185,DASHBOARD_KPIs!$E$3,SEGUIMIENTO_PROYECTOS!$H$5:$H$185,"P. Lavado"),"—")</f>
        <v>0.30232558139534882</v>
      </c>
    </row>
    <row r="44" spans="2:9" ht="15.75" customHeight="1" x14ac:dyDescent="0.35">
      <c r="B44" s="48" t="s">
        <v>298</v>
      </c>
      <c r="C44" s="56">
        <f>COUNTIFS(SEGUIMIENTO_PROYECTOS!$A$5:$A$185,DASHBOARD_KPIs!$E$3,SEGUIMIENTO_PROYECTOS!$H$5:$H$185,"R. Nuñez")-COUNTIFS(SEGUIMIENTO_PROYECTOS!$A$5:$A$185,DASHBOARD_KPIs!$E$3,SEGUIMIENTO_PROYECTOS!$H$5:$H$185,"R. Nuñez",SEGUIMIENTO_PROYECTOS!$F$5:$F$185,"CERRADO")-COUNTIFS(SEGUIMIENTO_PROYECTOS!$A$5:$A$185,DASHBOARD_KPIs!$E$3,SEGUIMIENTO_PROYECTOS!$H$5:$H$185,"R. Nuñez",SEGUIMIENTO_PROYECTOS!$F$5:$F$185,"CANCELADO")-COUNTIFS(SEGUIMIENTO_PROYECTOS!$A$5:$A$185,DASHBOARD_KPIs!$E$3,SEGUIMIENTO_PROYECTOS!$H$5:$H$185,"R. Nuñez",SEGUIMIENTO_PROYECTOS!$F$5:$F$185,"DESCARTADO")</f>
        <v>0</v>
      </c>
      <c r="D44" s="49">
        <f>COUNTIFS(SEGUIMIENTO_PROYECTOS!$A$5:$A$185,DASHBOARD_KPIs!$E$3,SEGUIMIENTO_PROYECTOS!$H$5:$H$185,"R. Nuñez",SEGUIMIENTO_PROYECTOS!$W$5:$W$185,"CONFORME")</f>
        <v>0</v>
      </c>
      <c r="E44" s="57">
        <f>COUNTIFS(SEGUIMIENTO_PROYECTOS!$A$5:$A$185,DASHBOARD_KPIs!$E$3,SEGUIMIENTO_PROYECTOS!$H$5:$H$185,"R. Nuñez",SEGUIMIENTO_PROYECTOS!$W$5:$W$185,"ALERTA")</f>
        <v>0</v>
      </c>
      <c r="F44" s="58">
        <f>COUNTIFS(SEGUIMIENTO_PROYECTOS!$A$5:$A$185,DASHBOARD_KPIs!$E$3,SEGUIMIENTO_PROYECTOS!$H$5:$H$185,"R. Nuñez",SEGUIMIENTO_PROYECTOS!$W$5:$W$185,"CRITICO")</f>
        <v>3</v>
      </c>
      <c r="G44" s="59">
        <f>COUNTIFS(SEGUIMIENTO_PROYECTOS!$A$5:$A$185,DASHBOARD_KPIs!$E$3,SEGUIMIENTO_PROYECTOS!$H$5:$H$185,"R. Nuñez",SEGUIMIENTO_PROYECTOS!$F$5:$F$185,"CERRADO")</f>
        <v>3</v>
      </c>
      <c r="H44" s="50">
        <f>COUNTIFS(SEGUIMIENTO_PROYECTOS!$A$5:$A$185,DASHBOARD_KPIs!$E$3,SEGUIMIENTO_PROYECTOS!$H$5:$H$185,"R. Nuñez",SEGUIMIENTO_PROYECTOS!$W$5:$W$185,"STAND BY")</f>
        <v>0</v>
      </c>
      <c r="I44" s="60">
        <f>IFERROR(SUMIFS(SEGUIMIENTO_PROYECTOS!$Y$5:$Y$185,SEGUIMIENTO_PROYECTOS!$A$5:$A$185,DASHBOARD_KPIs!$E$3,SEGUIMIENTO_PROYECTOS!$H$5:$H$185,"R. Nuñez")/SUMIFS(SEGUIMIENTO_PROYECTOS!$X$5:$X$185,SEGUIMIENTO_PROYECTOS!$A$5:$A$185,DASHBOARD_KPIs!$E$3,SEGUIMIENTO_PROYECTOS!$H$5:$H$185,"R. Nuñez"),"—")</f>
        <v>0</v>
      </c>
    </row>
  </sheetData>
  <mergeCells count="8">
    <mergeCell ref="B11:H11"/>
    <mergeCell ref="B17:J17"/>
    <mergeCell ref="B28:I28"/>
    <mergeCell ref="A1:I1"/>
    <mergeCell ref="A2:I2"/>
    <mergeCell ref="B3:C3"/>
    <mergeCell ref="F3:H3"/>
    <mergeCell ref="B5:H5"/>
  </mergeCells>
  <conditionalFormatting sqref="I19:I26">
    <cfRule type="expression" dxfId="8" priority="2">
      <formula>AND(ISNUMBER(I19),I19&gt;=0.9)</formula>
    </cfRule>
    <cfRule type="expression" dxfId="7" priority="3">
      <formula>AND(ISNUMBER(I19),I19&gt;=0.5,I19&lt;0.9)</formula>
    </cfRule>
    <cfRule type="expression" dxfId="6" priority="4">
      <formula>AND(ISNUMBER(I19),I19&lt;0.5)</formula>
    </cfRule>
  </conditionalFormatting>
  <conditionalFormatting sqref="J19:J26">
    <cfRule type="expression" dxfId="5" priority="5">
      <formula>J19="CONFORME"</formula>
    </cfRule>
    <cfRule type="expression" dxfId="4" priority="6">
      <formula>J19="ALERTA"</formula>
    </cfRule>
    <cfRule type="expression" dxfId="3" priority="7">
      <formula>J19="CRITICO"</formula>
    </cfRule>
  </conditionalFormatting>
  <conditionalFormatting sqref="I30:I44">
    <cfRule type="expression" dxfId="2" priority="8">
      <formula>AND(ISNUMBER(I30),I30&gt;=0.9)</formula>
    </cfRule>
    <cfRule type="expression" dxfId="1" priority="9">
      <formula>AND(ISNUMBER(I30),I30&gt;=0.5,I30&lt;0.9)</formula>
    </cfRule>
    <cfRule type="expression" dxfId="0" priority="10">
      <formula>AND(ISNUMBER(I30),I30&lt;0.5)</formula>
    </cfRule>
  </conditionalFormatting>
  <dataValidations count="1">
    <dataValidation type="list" sqref="D3" xr:uid="{00000000-0002-0000-0100-000000000000}">
      <formula1>"0,2024,2025,2026"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showGridLines="0" topLeftCell="A16" zoomScaleNormal="100" workbookViewId="0">
      <selection activeCell="C24" sqref="C24"/>
    </sheetView>
  </sheetViews>
  <sheetFormatPr baseColWidth="10" defaultColWidth="8.6328125" defaultRowHeight="14.5" x14ac:dyDescent="0.35"/>
  <cols>
    <col min="1" max="1" width="3" style="1" customWidth="1"/>
    <col min="2" max="2" width="28" style="1" customWidth="1"/>
    <col min="3" max="3" width="55" style="1" customWidth="1"/>
    <col min="4" max="4" width="3" style="1" customWidth="1"/>
  </cols>
  <sheetData>
    <row r="1" spans="1:4" ht="21.75" customHeight="1" x14ac:dyDescent="0.35">
      <c r="A1" s="94" t="s">
        <v>647</v>
      </c>
      <c r="B1" s="94"/>
      <c r="C1" s="94"/>
      <c r="D1" s="94"/>
    </row>
    <row r="3" spans="1:4" ht="15.75" customHeight="1" x14ac:dyDescent="0.35">
      <c r="B3" s="95" t="s">
        <v>648</v>
      </c>
      <c r="C3" s="95"/>
    </row>
    <row r="4" spans="1:4" ht="15.75" customHeight="1" x14ac:dyDescent="0.35">
      <c r="B4" s="61" t="s">
        <v>41</v>
      </c>
      <c r="C4" s="62" t="s">
        <v>649</v>
      </c>
    </row>
    <row r="5" spans="1:4" ht="15.75" customHeight="1" x14ac:dyDescent="0.35">
      <c r="B5" s="63" t="s">
        <v>283</v>
      </c>
      <c r="C5" s="62" t="s">
        <v>650</v>
      </c>
    </row>
    <row r="6" spans="1:4" ht="15.75" customHeight="1" x14ac:dyDescent="0.35">
      <c r="B6" s="52" t="s">
        <v>40</v>
      </c>
      <c r="C6" s="62" t="s">
        <v>651</v>
      </c>
    </row>
    <row r="7" spans="1:4" ht="15.75" customHeight="1" x14ac:dyDescent="0.35">
      <c r="B7" s="64" t="s">
        <v>39</v>
      </c>
      <c r="C7" s="62" t="s">
        <v>652</v>
      </c>
    </row>
    <row r="8" spans="1:4" ht="15.75" customHeight="1" x14ac:dyDescent="0.35">
      <c r="B8" s="65" t="s">
        <v>162</v>
      </c>
      <c r="C8" s="62" t="s">
        <v>653</v>
      </c>
    </row>
    <row r="9" spans="1:4" ht="15.75" customHeight="1" x14ac:dyDescent="0.35">
      <c r="B9" s="66" t="s">
        <v>169</v>
      </c>
      <c r="C9" s="62" t="s">
        <v>654</v>
      </c>
    </row>
    <row r="11" spans="1:4" ht="15.75" customHeight="1" x14ac:dyDescent="0.35">
      <c r="B11" s="95" t="s">
        <v>655</v>
      </c>
      <c r="C11" s="95"/>
    </row>
    <row r="12" spans="1:4" ht="15.75" customHeight="1" x14ac:dyDescent="0.35">
      <c r="B12" s="49" t="s">
        <v>656</v>
      </c>
      <c r="C12" s="62" t="s">
        <v>657</v>
      </c>
    </row>
    <row r="13" spans="1:4" ht="15.75" customHeight="1" x14ac:dyDescent="0.35">
      <c r="B13" s="57" t="s">
        <v>658</v>
      </c>
      <c r="C13" s="62" t="s">
        <v>659</v>
      </c>
    </row>
    <row r="14" spans="1:4" ht="15.75" customHeight="1" x14ac:dyDescent="0.35">
      <c r="B14" s="58" t="s">
        <v>660</v>
      </c>
      <c r="C14" s="62" t="s">
        <v>661</v>
      </c>
    </row>
    <row r="16" spans="1:4" ht="15.75" customHeight="1" x14ac:dyDescent="0.35">
      <c r="B16" s="95" t="s">
        <v>662</v>
      </c>
      <c r="C16" s="95"/>
    </row>
    <row r="17" spans="2:3" ht="15.75" customHeight="1" x14ac:dyDescent="0.35">
      <c r="B17" s="61" t="s">
        <v>621</v>
      </c>
      <c r="C17" s="62" t="s">
        <v>663</v>
      </c>
    </row>
    <row r="18" spans="2:3" ht="15.75" customHeight="1" x14ac:dyDescent="0.35">
      <c r="B18" s="67" t="s">
        <v>622</v>
      </c>
      <c r="C18" s="62" t="s">
        <v>664</v>
      </c>
    </row>
    <row r="19" spans="2:3" ht="15.75" customHeight="1" x14ac:dyDescent="0.35">
      <c r="B19" s="52" t="s">
        <v>623</v>
      </c>
      <c r="C19" s="62" t="s">
        <v>665</v>
      </c>
    </row>
    <row r="20" spans="2:3" ht="15.75" customHeight="1" x14ac:dyDescent="0.35">
      <c r="B20" s="64" t="s">
        <v>74</v>
      </c>
      <c r="C20" s="62" t="s">
        <v>666</v>
      </c>
    </row>
    <row r="21" spans="2:3" ht="15.75" customHeight="1" x14ac:dyDescent="0.35">
      <c r="B21" s="52" t="s">
        <v>101</v>
      </c>
      <c r="C21" s="62" t="s">
        <v>667</v>
      </c>
    </row>
    <row r="22" spans="2:3" ht="15.75" customHeight="1" x14ac:dyDescent="0.35">
      <c r="B22" s="67" t="s">
        <v>308</v>
      </c>
      <c r="C22" s="62" t="s">
        <v>668</v>
      </c>
    </row>
    <row r="23" spans="2:3" ht="15.75" customHeight="1" x14ac:dyDescent="0.35">
      <c r="B23" s="65" t="s">
        <v>121</v>
      </c>
      <c r="C23" s="62" t="s">
        <v>669</v>
      </c>
    </row>
    <row r="24" spans="2:3" ht="15.75" customHeight="1" x14ac:dyDescent="0.35">
      <c r="B24" s="68" t="s">
        <v>624</v>
      </c>
      <c r="C24" s="62" t="s">
        <v>670</v>
      </c>
    </row>
    <row r="26" spans="2:3" ht="15.75" customHeight="1" x14ac:dyDescent="0.35">
      <c r="B26" s="95" t="s">
        <v>671</v>
      </c>
      <c r="C26" s="95"/>
    </row>
    <row r="27" spans="2:3" ht="15.75" customHeight="1" x14ac:dyDescent="0.35">
      <c r="B27" s="69" t="s">
        <v>672</v>
      </c>
      <c r="C27" s="62" t="s">
        <v>673</v>
      </c>
    </row>
    <row r="28" spans="2:3" ht="15.75" customHeight="1" x14ac:dyDescent="0.35">
      <c r="B28" s="69" t="s">
        <v>674</v>
      </c>
      <c r="C28" s="62" t="s">
        <v>675</v>
      </c>
    </row>
    <row r="29" spans="2:3" ht="15.75" customHeight="1" x14ac:dyDescent="0.35">
      <c r="B29" s="69" t="s">
        <v>613</v>
      </c>
      <c r="C29" s="62" t="s">
        <v>676</v>
      </c>
    </row>
  </sheetData>
  <mergeCells count="5">
    <mergeCell ref="A1:D1"/>
    <mergeCell ref="B3:C3"/>
    <mergeCell ref="B11:C11"/>
    <mergeCell ref="B16:C16"/>
    <mergeCell ref="B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showGridLines="0" zoomScaleNormal="100" workbookViewId="0">
      <selection activeCell="E14" sqref="E14"/>
    </sheetView>
  </sheetViews>
  <sheetFormatPr baseColWidth="10" defaultColWidth="8.6328125" defaultRowHeight="14.5" x14ac:dyDescent="0.35"/>
  <cols>
    <col min="1" max="1" width="22" style="1" customWidth="1"/>
    <col min="3" max="3" width="22" style="1" customWidth="1"/>
    <col min="5" max="5" width="22" style="1" customWidth="1"/>
    <col min="7" max="7" width="22" style="1" customWidth="1"/>
  </cols>
  <sheetData>
    <row r="1" spans="1:9" ht="21.75" customHeight="1" x14ac:dyDescent="0.35">
      <c r="A1" s="96" t="s">
        <v>677</v>
      </c>
      <c r="B1" s="96"/>
      <c r="C1" s="96"/>
      <c r="D1" s="96"/>
      <c r="E1" s="96"/>
      <c r="F1" s="96"/>
      <c r="G1" s="96"/>
      <c r="H1" s="96"/>
      <c r="I1" s="96"/>
    </row>
    <row r="3" spans="1:9" ht="18" customHeight="1" x14ac:dyDescent="0.35">
      <c r="A3" s="70" t="s">
        <v>678</v>
      </c>
      <c r="C3" s="70" t="s">
        <v>679</v>
      </c>
      <c r="E3" s="70" t="s">
        <v>680</v>
      </c>
      <c r="G3" s="70" t="s">
        <v>4</v>
      </c>
    </row>
    <row r="4" spans="1:9" ht="15" customHeight="1" x14ac:dyDescent="0.35">
      <c r="A4" s="71" t="s">
        <v>64</v>
      </c>
      <c r="C4" s="71" t="s">
        <v>86</v>
      </c>
      <c r="E4" s="71" t="s">
        <v>41</v>
      </c>
      <c r="G4" s="71" t="s">
        <v>57</v>
      </c>
    </row>
    <row r="5" spans="1:9" ht="15" customHeight="1" x14ac:dyDescent="0.35">
      <c r="A5" s="72" t="s">
        <v>44</v>
      </c>
      <c r="C5" s="72" t="s">
        <v>154</v>
      </c>
      <c r="E5" s="71" t="s">
        <v>283</v>
      </c>
      <c r="G5" s="72" t="s">
        <v>49</v>
      </c>
    </row>
    <row r="6" spans="1:9" ht="15" customHeight="1" x14ac:dyDescent="0.35">
      <c r="A6" s="71" t="s">
        <v>92</v>
      </c>
      <c r="C6" s="71" t="s">
        <v>48</v>
      </c>
      <c r="E6" s="72" t="s">
        <v>40</v>
      </c>
      <c r="G6" s="71" t="s">
        <v>329</v>
      </c>
    </row>
    <row r="7" spans="1:9" ht="15" customHeight="1" x14ac:dyDescent="0.35">
      <c r="A7" s="72" t="s">
        <v>82</v>
      </c>
      <c r="C7" s="72" t="s">
        <v>35</v>
      </c>
      <c r="E7" s="71" t="s">
        <v>39</v>
      </c>
      <c r="G7" s="72" t="s">
        <v>353</v>
      </c>
    </row>
    <row r="8" spans="1:9" ht="15" customHeight="1" x14ac:dyDescent="0.35">
      <c r="A8" s="71" t="s">
        <v>53</v>
      </c>
      <c r="E8" s="71" t="s">
        <v>162</v>
      </c>
      <c r="G8" s="71" t="s">
        <v>319</v>
      </c>
    </row>
    <row r="9" spans="1:9" ht="15" customHeight="1" x14ac:dyDescent="0.35">
      <c r="A9" s="72" t="s">
        <v>238</v>
      </c>
      <c r="E9" s="72"/>
      <c r="G9" s="72" t="s">
        <v>37</v>
      </c>
    </row>
    <row r="10" spans="1:9" ht="15" customHeight="1" x14ac:dyDescent="0.35">
      <c r="A10" s="71" t="s">
        <v>36</v>
      </c>
      <c r="E10" s="71"/>
      <c r="G10" s="71" t="s">
        <v>270</v>
      </c>
    </row>
    <row r="11" spans="1:9" ht="15" customHeight="1" x14ac:dyDescent="0.35">
      <c r="A11" s="72" t="s">
        <v>89</v>
      </c>
      <c r="G11" s="72" t="s">
        <v>395</v>
      </c>
    </row>
    <row r="12" spans="1:9" ht="15" customHeight="1" x14ac:dyDescent="0.35">
      <c r="A12" s="71" t="s">
        <v>74</v>
      </c>
      <c r="G12" s="71" t="s">
        <v>333</v>
      </c>
    </row>
    <row r="13" spans="1:9" ht="15" customHeight="1" x14ac:dyDescent="0.35">
      <c r="A13" s="72" t="s">
        <v>101</v>
      </c>
      <c r="G13" s="72" t="s">
        <v>245</v>
      </c>
    </row>
    <row r="14" spans="1:9" ht="15" customHeight="1" x14ac:dyDescent="0.35">
      <c r="A14" s="71" t="s">
        <v>308</v>
      </c>
      <c r="G14" s="71" t="s">
        <v>45</v>
      </c>
    </row>
    <row r="15" spans="1:9" ht="15" customHeight="1" x14ac:dyDescent="0.35">
      <c r="A15" s="72"/>
      <c r="G15" s="72" t="s">
        <v>228</v>
      </c>
    </row>
    <row r="16" spans="1:9" ht="15" customHeight="1" x14ac:dyDescent="0.35">
      <c r="G16" s="71" t="s">
        <v>428</v>
      </c>
    </row>
    <row r="17" spans="7:7" ht="15" customHeight="1" x14ac:dyDescent="0.35">
      <c r="G17" s="72" t="s">
        <v>137</v>
      </c>
    </row>
    <row r="18" spans="7:7" ht="15" customHeight="1" x14ac:dyDescent="0.35">
      <c r="G18" s="71" t="s">
        <v>298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32CF243A89247AB3C7C7FE358C0F1" ma:contentTypeVersion="12" ma:contentTypeDescription="Create a new document." ma:contentTypeScope="" ma:versionID="3551982f1de60e7bb6b3a145eb4387b5">
  <xsd:schema xmlns:xsd="http://www.w3.org/2001/XMLSchema" xmlns:xs="http://www.w3.org/2001/XMLSchema" xmlns:p="http://schemas.microsoft.com/office/2006/metadata/properties" xmlns:ns2="ff59c9f8-adb4-49df-b682-ac5612a0c8e7" targetNamespace="http://schemas.microsoft.com/office/2006/metadata/properties" ma:root="true" ma:fieldsID="095247d6cb34483703ce062d15864647" ns2:_="">
    <xsd:import namespace="ff59c9f8-adb4-49df-b682-ac5612a0c8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9c9f8-adb4-49df-b682-ac5612a0c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6bcabb1-a675-4451-b171-fb284f991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59c9f8-adb4-49df-b682-ac5612a0c8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7FB27A-8A8C-45CD-B33E-9BA9A960B1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59c9f8-adb4-49df-b682-ac5612a0c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F658E0-F739-48B4-9F55-520D0FAA4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E9E4C8-2FCF-4495-894E-F57ABDA5B001}">
  <ds:schemaRefs>
    <ds:schemaRef ds:uri="http://schemas.microsoft.com/office/2006/metadata/properties"/>
    <ds:schemaRef ds:uri="http://schemas.microsoft.com/office/infopath/2007/PartnerControls"/>
    <ds:schemaRef ds:uri="ff59c9f8-adb4-49df-b682-ac5612a0c8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SEGUIMIENTO_PROYECTOS</vt:lpstr>
      <vt:lpstr>DASHBOARD_KPIs</vt:lpstr>
      <vt:lpstr>LEYENDA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Consuelo Fernandez, SIGRAL, Planeamiento y SIG</cp:lastModifiedBy>
  <cp:revision>0</cp:revision>
  <dcterms:created xsi:type="dcterms:W3CDTF">2026-05-29T22:36:15Z</dcterms:created>
  <dcterms:modified xsi:type="dcterms:W3CDTF">2026-06-05T22:01:49Z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0x0101004F532CF243A89247AB3C7C7FE358C0F1</vt:lpwstr>
  </property>
  <property fmtid="{D5CDD505-2E9C-101B-9397-08002B2CF9AE}" pid="3" name="MediaServiceImageTags">
    <vt:lpwstr/>
  </property>
</Properties>
</file>